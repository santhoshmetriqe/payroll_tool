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192.168.7.5\Hotel_Equities\2026\5 Payroll\US\Payroll Register -request\Working\"/>
    </mc:Choice>
  </mc:AlternateContent>
  <xr:revisionPtr revIDLastSave="0" documentId="8_{6071644D-DF68-41EE-864E-5D8D56595499}" xr6:coauthVersionLast="47" xr6:coauthVersionMax="47" xr10:uidLastSave="{00000000-0000-0000-0000-000000000000}"/>
  <bookViews>
    <workbookView xWindow="-120" yWindow="-120" windowWidth="29040" windowHeight="15720" firstSheet="1" activeTab="1" xr2:uid="{C3F4CE1E-18F9-41C2-85A9-DD1EF626D4F5}"/>
  </bookViews>
  <sheets>
    <sheet name="Working" sheetId="2" state="hidden" r:id="rId1"/>
    <sheet name="Mapping" sheetId="5" r:id="rId2"/>
    <sheet name="Jul Payroll" sheetId="1" state="hidden" r:id="rId3"/>
    <sheet name="Final" sheetId="3" state="hidden" r:id="rId4"/>
    <sheet name="IncomeStatement" sheetId="4" state="hidden" r:id="rId5"/>
  </sheets>
  <externalReferences>
    <externalReference r:id="rId6"/>
  </externalReferences>
  <definedNames>
    <definedName name="_xlnm._FilterDatabase" localSheetId="3" hidden="1">Final!$B$1:$G$429</definedName>
    <definedName name="_xlnm._FilterDatabase" localSheetId="4" hidden="1">IncomeStatement!$A$6:$F$322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7" i="2" l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L37" i="2"/>
  <c r="L36" i="2"/>
  <c r="L35" i="2"/>
  <c r="L33" i="2"/>
  <c r="L32" i="2"/>
  <c r="L31" i="2"/>
  <c r="L30" i="2"/>
  <c r="L29" i="2"/>
  <c r="L28" i="2"/>
  <c r="L27" i="2"/>
  <c r="L26" i="2"/>
  <c r="L24" i="2"/>
  <c r="L23" i="2"/>
  <c r="L22" i="2"/>
  <c r="L21" i="2"/>
  <c r="L20" i="2"/>
  <c r="L19" i="2"/>
  <c r="L18" i="2"/>
  <c r="L17" i="2"/>
  <c r="L16" i="2"/>
  <c r="L15" i="2"/>
  <c r="L13" i="2"/>
  <c r="L12" i="2"/>
  <c r="L10" i="2"/>
  <c r="L9" i="2"/>
  <c r="L7" i="2"/>
  <c r="L6" i="2"/>
  <c r="L5" i="2"/>
  <c r="E319" i="4"/>
  <c r="E320" i="4" s="1"/>
  <c r="D319" i="4"/>
  <c r="D320" i="4" s="1"/>
  <c r="C319" i="4"/>
  <c r="C320" i="4" s="1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E270" i="4"/>
  <c r="D270" i="4"/>
  <c r="C270" i="4"/>
  <c r="F269" i="4"/>
  <c r="F268" i="4"/>
  <c r="E266" i="4"/>
  <c r="D266" i="4"/>
  <c r="C266" i="4"/>
  <c r="F265" i="4"/>
  <c r="F266" i="4" s="1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E242" i="4"/>
  <c r="D242" i="4"/>
  <c r="C242" i="4"/>
  <c r="F241" i="4"/>
  <c r="F240" i="4"/>
  <c r="E238" i="4"/>
  <c r="D238" i="4"/>
  <c r="C238" i="4"/>
  <c r="F237" i="4"/>
  <c r="F238" i="4" s="1"/>
  <c r="E235" i="4"/>
  <c r="D235" i="4"/>
  <c r="C235" i="4"/>
  <c r="F234" i="4"/>
  <c r="F235" i="4" s="1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E219" i="4"/>
  <c r="D219" i="4"/>
  <c r="C219" i="4"/>
  <c r="F218" i="4"/>
  <c r="F217" i="4"/>
  <c r="F216" i="4"/>
  <c r="F214" i="4"/>
  <c r="F213" i="4"/>
  <c r="F212" i="4"/>
  <c r="F211" i="4"/>
  <c r="F210" i="4"/>
  <c r="F209" i="4"/>
  <c r="F208" i="4"/>
  <c r="E207" i="4"/>
  <c r="D207" i="4"/>
  <c r="C207" i="4"/>
  <c r="F206" i="4"/>
  <c r="F207" i="4" s="1"/>
  <c r="E204" i="4"/>
  <c r="D204" i="4"/>
  <c r="C204" i="4"/>
  <c r="F203" i="4"/>
  <c r="F204" i="4" s="1"/>
  <c r="E201" i="4"/>
  <c r="D201" i="4"/>
  <c r="C201" i="4"/>
  <c r="F200" i="4"/>
  <c r="F201" i="4" s="1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E179" i="4"/>
  <c r="D179" i="4"/>
  <c r="C179" i="4"/>
  <c r="F178" i="4"/>
  <c r="F177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E148" i="4"/>
  <c r="D148" i="4"/>
  <c r="C148" i="4"/>
  <c r="F147" i="4"/>
  <c r="F148" i="4" s="1"/>
  <c r="E145" i="4"/>
  <c r="D145" i="4"/>
  <c r="C145" i="4"/>
  <c r="F144" i="4"/>
  <c r="F143" i="4"/>
  <c r="E141" i="4"/>
  <c r="D141" i="4"/>
  <c r="C141" i="4"/>
  <c r="F140" i="4"/>
  <c r="F141" i="4" s="1"/>
  <c r="E138" i="4"/>
  <c r="D138" i="4"/>
  <c r="C138" i="4"/>
  <c r="F137" i="4"/>
  <c r="F138" i="4" s="1"/>
  <c r="E135" i="4"/>
  <c r="D135" i="4"/>
  <c r="C135" i="4"/>
  <c r="F134" i="4"/>
  <c r="F135" i="4" s="1"/>
  <c r="E132" i="4"/>
  <c r="D132" i="4"/>
  <c r="C132" i="4"/>
  <c r="F131" i="4"/>
  <c r="F132" i="4" s="1"/>
  <c r="E129" i="4"/>
  <c r="D129" i="4"/>
  <c r="C129" i="4"/>
  <c r="F128" i="4"/>
  <c r="F129" i="4" s="1"/>
  <c r="E126" i="4"/>
  <c r="D126" i="4"/>
  <c r="C126" i="4"/>
  <c r="F125" i="4"/>
  <c r="F126" i="4" s="1"/>
  <c r="E123" i="4"/>
  <c r="D123" i="4"/>
  <c r="C123" i="4"/>
  <c r="F122" i="4"/>
  <c r="F123" i="4" s="1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E99" i="4"/>
  <c r="D99" i="4"/>
  <c r="C99" i="4"/>
  <c r="F98" i="4"/>
  <c r="F99" i="4" s="1"/>
  <c r="E96" i="4"/>
  <c r="D96" i="4"/>
  <c r="C96" i="4"/>
  <c r="F95" i="4"/>
  <c r="F96" i="4" s="1"/>
  <c r="E93" i="4"/>
  <c r="D93" i="4"/>
  <c r="C93" i="4"/>
  <c r="F92" i="4"/>
  <c r="F93" i="4" s="1"/>
  <c r="E90" i="4"/>
  <c r="D90" i="4"/>
  <c r="C90" i="4"/>
  <c r="F89" i="4"/>
  <c r="F88" i="4"/>
  <c r="L14" i="2" s="1"/>
  <c r="E86" i="4"/>
  <c r="D86" i="4"/>
  <c r="C86" i="4"/>
  <c r="F85" i="4"/>
  <c r="F86" i="4" s="1"/>
  <c r="E83" i="4"/>
  <c r="D83" i="4"/>
  <c r="C83" i="4"/>
  <c r="F82" i="4"/>
  <c r="F81" i="4"/>
  <c r="L11" i="2" s="1"/>
  <c r="E79" i="4"/>
  <c r="D79" i="4"/>
  <c r="C79" i="4"/>
  <c r="F78" i="4"/>
  <c r="F77" i="4"/>
  <c r="E75" i="4"/>
  <c r="D75" i="4"/>
  <c r="C75" i="4"/>
  <c r="F74" i="4"/>
  <c r="F73" i="4"/>
  <c r="L8" i="2" s="1"/>
  <c r="E71" i="4"/>
  <c r="D71" i="4"/>
  <c r="C71" i="4"/>
  <c r="F70" i="4"/>
  <c r="F71" i="4" s="1"/>
  <c r="E68" i="4"/>
  <c r="D68" i="4"/>
  <c r="C68" i="4"/>
  <c r="F67" i="4"/>
  <c r="F68" i="4" s="1"/>
  <c r="E65" i="4"/>
  <c r="D65" i="4"/>
  <c r="C65" i="4"/>
  <c r="F64" i="4"/>
  <c r="F63" i="4"/>
  <c r="E59" i="4"/>
  <c r="D59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E45" i="4"/>
  <c r="D45" i="4"/>
  <c r="C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P431" i="3"/>
  <c r="P432" i="3" s="1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F83" i="4" l="1"/>
  <c r="D60" i="4"/>
  <c r="F145" i="4"/>
  <c r="F65" i="4"/>
  <c r="F242" i="4"/>
  <c r="L34" i="2"/>
  <c r="C60" i="4"/>
  <c r="L25" i="2"/>
  <c r="L4" i="2"/>
  <c r="C299" i="4"/>
  <c r="F75" i="4"/>
  <c r="F79" i="4"/>
  <c r="F179" i="4"/>
  <c r="E60" i="4"/>
  <c r="F90" i="4"/>
  <c r="F319" i="4"/>
  <c r="F320" i="4" s="1"/>
  <c r="D299" i="4"/>
  <c r="F270" i="4"/>
  <c r="E299" i="4"/>
  <c r="E300" i="4" s="1"/>
  <c r="E321" i="4" s="1"/>
  <c r="F219" i="4"/>
  <c r="F45" i="4"/>
  <c r="F59" i="4"/>
  <c r="C300" i="4" l="1"/>
  <c r="C321" i="4" s="1"/>
  <c r="D300" i="4"/>
  <c r="D321" i="4" s="1"/>
  <c r="F299" i="4"/>
  <c r="F60" i="4"/>
  <c r="F300" i="4" l="1"/>
  <c r="F321" i="4" s="1"/>
</calcChain>
</file>

<file path=xl/sharedStrings.xml><?xml version="1.0" encoding="utf-8"?>
<sst xmlns="http://schemas.openxmlformats.org/spreadsheetml/2006/main" count="3381" uniqueCount="1327">
  <si>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</si>
  <si>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</si>
  <si>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</si>
  <si>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</si>
  <si>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</si>
  <si>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</si>
  <si>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</si>
  <si>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</si>
  <si>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</si>
  <si>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</si>
  <si>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</si>
  <si>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Location</t>
  </si>
  <si>
    <t>THG-00059</t>
  </si>
  <si>
    <t>Payroll Period 06.21.2026 to 07.04.2026 # PD 07.09.2026</t>
  </si>
  <si>
    <t>ADP Garnishment Liability - Payroll Period 06.21.2026 to 07.04.2026 # PD 07.09.2026</t>
  </si>
  <si>
    <t>ADP Wagepay - Payroll Period 06.21.2026 to 07.04.2026 # PD 07.09.2026</t>
  </si>
  <si>
    <t>Employee Benefits Contributions - Payroll Period 06.21.2026 to 07.04.2026 # PD 07.09.2026</t>
  </si>
  <si>
    <t>Employee Tax Liability - Payroll Period 06.21.2026 to 07.04.2026 # PD 07.09.2026</t>
  </si>
  <si>
    <t>Employer Benefits Cost - Payroll Period 06.21.2026 to 07.04.2026 # PD 07.09.2026</t>
  </si>
  <si>
    <t>Employer Tax Liability - Payroll Period 06.21.2026 to 07.04.2026 # PD 07.09.2026</t>
  </si>
  <si>
    <t>Charge Tips Paid - Payroll Period 06.21.2026 to 07.04.2026 # PD 07.09.2026</t>
  </si>
  <si>
    <t>ADP Retirement Liability - Payroll Period 06.21.2026 to 07.04.2026 # PD 07.09.2026</t>
  </si>
  <si>
    <t>Reimbursements - Payroll Period 06.21.2026 to 07.04.2026 # PD 07.09.2026</t>
  </si>
  <si>
    <t>Bonus and Incentive - Rooms - Payroll Period 06.21.2026 to 07.04.2026 # PD 07.09.2026</t>
  </si>
  <si>
    <t>Rooms Employer Tax - Payroll Period 06.21.2026 to 07.04.2026 # PD 07.09.2026</t>
  </si>
  <si>
    <t>Employer Match Retirement - Payroll Period 06.21.2026 to 07.04.2026 # PD 07.09.2026</t>
  </si>
  <si>
    <t>Supplemental Pay - Payroll Period 06.21.2026 to 07.04.2026 # PD 07.09.2026</t>
  </si>
  <si>
    <t>Uniforms - Payroll Period 06.21.2026 to 07.04.2026 # PD 07.09.2026</t>
  </si>
  <si>
    <t>Bonus and Incentive - Payroll Period 06.21.2026 to 07.04.2026 # PD 07.09.2026</t>
  </si>
  <si>
    <t>01 Restaurant 1</t>
  </si>
  <si>
    <t>F&amp;B Employer Tax - Payroll Period 06.21.2026 to 07.04.2026 # PD 07.09.2026</t>
  </si>
  <si>
    <t>11 Banquets</t>
  </si>
  <si>
    <t>Service Charges - Payroll Period 06.21.2026 to 07.04.2026 # PD 07.09.2026</t>
  </si>
  <si>
    <t>Bar Employer Tax - Payroll Period 06.21.2026 to 07.04.2026 # PD 07.09.2026</t>
  </si>
  <si>
    <t>A&amp;G Employer Tax - Payroll Period 06.21.2026 to 07.04.2026 # PD 07.09.2026</t>
  </si>
  <si>
    <t>Sales Employer Tax - Payroll Period 06.21.2026 to 07.04.2026 # PD 07.09.2026</t>
  </si>
  <si>
    <t>Maint Employer Tax - Payroll Period 06.21.2026 to 07.04.2026 # PD 07.09.2026</t>
  </si>
  <si>
    <t>60000OT</t>
  </si>
  <si>
    <t>Night Audit OT - Payroll Period 06.21.2026 to 07.04.2026 # PD 07.09.2026</t>
  </si>
  <si>
    <t>60000R</t>
  </si>
  <si>
    <t>Night Audit Wages - Payroll Period 06.21.2026 to 07.04.2026 # PD 07.09.2026</t>
  </si>
  <si>
    <t>60010R</t>
  </si>
  <si>
    <t>Guest Service Mgr Wages - Payroll Period 06.21.2026 to 07.04.2026 # PD 07.09.2026</t>
  </si>
  <si>
    <t>60020R</t>
  </si>
  <si>
    <t>Asst General Manager Wages - Payroll Period 06.21.2026 to 07.04.2026 # PD 07.09.2026</t>
  </si>
  <si>
    <t>60040OT</t>
  </si>
  <si>
    <t>Guest Svc Super OT - Payroll Period 06.21.2026 to 07.04.2026 # PD 07.09.2026</t>
  </si>
  <si>
    <t>60040R</t>
  </si>
  <si>
    <t>Guest Service Super Wages - Payroll Period 06.21.2026 to 07.04.2026 # PD 07.09.2026</t>
  </si>
  <si>
    <t>60050R</t>
  </si>
  <si>
    <t>Guest Service Wages - Payroll Period 06.21.2026 to 07.04.2026 # PD 07.09.2026</t>
  </si>
  <si>
    <t>60200R</t>
  </si>
  <si>
    <t>Concierge Wages - Payroll Period 06.21.2026 to 07.04.2026 # PD 07.09.2026</t>
  </si>
  <si>
    <t>60300R</t>
  </si>
  <si>
    <t>Exec Housekeeper Wages - Payroll Period 06.21.2026 to 07.04.2026 # PD 07.09.2026</t>
  </si>
  <si>
    <t>60350R</t>
  </si>
  <si>
    <t>Room Attendant Wages - Payroll Period 06.21.2026 to 07.04.2026 # PD 07.09.2026</t>
  </si>
  <si>
    <t>60390R</t>
  </si>
  <si>
    <t>Inspector Wages - Payroll Period 06.21.2026 to 07.04.2026 # PD 07.09.2026</t>
  </si>
  <si>
    <t>60650R</t>
  </si>
  <si>
    <t>Houseperson Wages - Payroll Period 06.21.2026 to 07.04.2026 # PD 07.09.2026</t>
  </si>
  <si>
    <t>62000R</t>
  </si>
  <si>
    <t>F&amp;B Manager Wages - Payroll Period 06.21.2026 to 07.04.2026 # PD 07.09.2026</t>
  </si>
  <si>
    <t>62050R</t>
  </si>
  <si>
    <t>Exec Chef Wages - Payroll Period 06.21.2026 to 07.04.2026 # PD 07.09.2026</t>
  </si>
  <si>
    <t>62110R</t>
  </si>
  <si>
    <t>Restaurant Manager Wages - Payroll Period 06.21.2026 to 07.04.2026 # PD 07.09.2026</t>
  </si>
  <si>
    <t>62230R</t>
  </si>
  <si>
    <t>Banq Server Wages - Payroll Period 06.21.2026 to 07.04.2026 # PD 07.09.2026</t>
  </si>
  <si>
    <t>62260R</t>
  </si>
  <si>
    <t>Server Wages - Payroll Period 06.21.2026 to 07.04.2026 # PD 07.09.2026</t>
  </si>
  <si>
    <t>62300R</t>
  </si>
  <si>
    <t>Host Person Wages - Payroll Period 06.21.2026 to 07.04.2026 # PD 07.09.2026</t>
  </si>
  <si>
    <t>62500OT</t>
  </si>
  <si>
    <t>Line Cook OT - Payroll Period 06.21.2026 to 07.04.2026 # PD 07.09.2026</t>
  </si>
  <si>
    <t>62500R</t>
  </si>
  <si>
    <t>Line Cook Wages - Payroll Period 06.21.2026 to 07.04.2026 # PD 07.09.2026</t>
  </si>
  <si>
    <t>62600R</t>
  </si>
  <si>
    <t>Kitchen Utility Wages - Payroll Period 06.21.2026 to 07.04.2026 # PD 07.09.2026</t>
  </si>
  <si>
    <t>64100R</t>
  </si>
  <si>
    <t>Bartender Wages - Payroll Period 06.21.2026 to 07.04.2026 # PD 07.09.2026</t>
  </si>
  <si>
    <t>73000R</t>
  </si>
  <si>
    <t>GM Wages - Payroll Period 06.21.2026 to 07.04.2026 # PD 07.09.2026</t>
  </si>
  <si>
    <t>73400R</t>
  </si>
  <si>
    <t>HR Wages - Payroll Period 06.21.2026 to 07.04.2026 # PD 07.09.2026</t>
  </si>
  <si>
    <t>73500R</t>
  </si>
  <si>
    <t>Accounting Wages - Payroll Period 06.21.2026 to 07.04.2026 # PD 07.09.2026</t>
  </si>
  <si>
    <t>75010R</t>
  </si>
  <si>
    <t>DOS Wages - Payroll Period 06.21.2026 to 07.04.2026 # PD 07.09.2026</t>
  </si>
  <si>
    <t>75020R</t>
  </si>
  <si>
    <t>Sales Manager Wages - Payroll Period 06.21.2026 to 07.04.2026 # PD 07.09.2026</t>
  </si>
  <si>
    <t>75500OT</t>
  </si>
  <si>
    <t>Sales Admin OT - Payroll Period 06.21.2026 to 07.04.2026 # PD 07.09.2026</t>
  </si>
  <si>
    <t>75500R</t>
  </si>
  <si>
    <t>Sales Administrative Wages - Payroll Period 06.21.2026 to 07.04.2026 # PD 07.09.2026</t>
  </si>
  <si>
    <t>77000R</t>
  </si>
  <si>
    <t>Maintenance Chief Wages - Payroll Period 06.21.2026 to 07.04.2026 # PD 07.09.2026</t>
  </si>
  <si>
    <t>77100R</t>
  </si>
  <si>
    <t>Maint Tech Wages - Payroll Period 06.21.2026 to 07.04.2026 # PD 07.09.2026</t>
  </si>
  <si>
    <t>Payroll Period 07.05.2026 to 07.18.2026 # PD 07.24.2026</t>
  </si>
  <si>
    <t>ADP Garnishment Liability - Payroll Period 07.05.2026 to 07.18.2026</t>
  </si>
  <si>
    <t>ADP Wagepay - Payroll Period 07.05.2026 to 07.18.2026</t>
  </si>
  <si>
    <t>Employee Benefits Contributions - Payroll Period 07.05.2026 to 07.18.2026</t>
  </si>
  <si>
    <t>Employee Tax Liability - Payroll Period 07.05.2026 to 07.18.2026</t>
  </si>
  <si>
    <t>Employer Benefits Cost - Payroll Period 07.05.2026 to 07.18.2026</t>
  </si>
  <si>
    <t>Employer Tax Liability - Payroll Period 07.05.2026 to 07.18.2026</t>
  </si>
  <si>
    <t>Charge Tips Paid - Payroll Period 07.05.2026 to 07.18.2026</t>
  </si>
  <si>
    <t>ADP Retirement Liability - Payroll Period 07.05.2026 to 07.18.2026</t>
  </si>
  <si>
    <t>Bonus and Incentive - Rooms - Payroll Period 07.05.2026 to 07.18.2026</t>
  </si>
  <si>
    <t>Rooms Employer Tax - Payroll Period 07.05.2026 to 07.18.2026</t>
  </si>
  <si>
    <t>Employer Match Retirement - Payroll Period 07.05.2026 to 07.18.2026</t>
  </si>
  <si>
    <t>Supplemental Pay - Payroll Period 07.05.2026 to 07.18.2026</t>
  </si>
  <si>
    <t>Uniforms - Payroll Period 07.05.2026 to 07.18.2026</t>
  </si>
  <si>
    <t>Bonus and Incentive - Payroll Period 07.05.2026 to 07.18.2026</t>
  </si>
  <si>
    <t>F&amp;B Employer Tax - Payroll Period 07.05.2026 to 07.18.2026</t>
  </si>
  <si>
    <t>Service Charges - Payroll Period 07.05.2026 to 07.18.2026</t>
  </si>
  <si>
    <t>Bar Employer Tax - Payroll Period 07.05.2026 to 07.18.2026</t>
  </si>
  <si>
    <t>A&amp;G Employer Tax - Payroll Period 07.05.2026 to 07.18.2026</t>
  </si>
  <si>
    <t>Sales Employer Tax - Payroll Period 07.05.2026 to 07.18.2026</t>
  </si>
  <si>
    <t>Maint Employer Tax - Payroll Period 07.05.2026 to 07.18.2026</t>
  </si>
  <si>
    <t>Night Audit OT - Payroll Period 07.05.2026 to 07.18.2026</t>
  </si>
  <si>
    <t>Night Audit Wages - Payroll Period 07.05.2026 to 07.18.2026</t>
  </si>
  <si>
    <t>Guest Service Mgr Wages - Payroll Period 07.05.2026 to 07.18.2026</t>
  </si>
  <si>
    <t>Asst General Manager Wages - Payroll Period 07.05.2026 to 07.18.2026</t>
  </si>
  <si>
    <t>Guest Svc Super OT - Payroll Period 07.05.2026 to 07.18.2026</t>
  </si>
  <si>
    <t>Guest Service Super Wages - Payroll Period 07.05.2026 to 07.18.2026</t>
  </si>
  <si>
    <t>Guest Service Wages - Payroll Period 07.05.2026 to 07.18.2026</t>
  </si>
  <si>
    <t>60200OT</t>
  </si>
  <si>
    <t>Concierge OT - Payroll Period 07.05.2026 to 07.18.2026</t>
  </si>
  <si>
    <t>Concierge Wages - Payroll Period 07.05.2026 to 07.18.2026</t>
  </si>
  <si>
    <t>Exec Housekeeper Wages - Payroll Period 07.05.2026 to 07.18.2026</t>
  </si>
  <si>
    <t>60350OT</t>
  </si>
  <si>
    <t>Room Attendant OT - Payroll Period 07.05.2026 to 07.18.2026</t>
  </si>
  <si>
    <t>Room Attendant Wages - Payroll Period 07.05.2026 to 07.18.2026</t>
  </si>
  <si>
    <t>Inspector Wages - Payroll Period 07.05.2026 to 07.18.2026</t>
  </si>
  <si>
    <t>60500R</t>
  </si>
  <si>
    <t>Hskping Laundry Wages - Payroll Period 07.05.2026 to 07.18.2026</t>
  </si>
  <si>
    <t>Houseperson Wages - Payroll Period 07.05.2026 to 07.18.2026</t>
  </si>
  <si>
    <t>F&amp;B Manager Wages - Payroll Period 07.05.2026 to 07.18.2026</t>
  </si>
  <si>
    <t>Exec Chef Wages - Payroll Period 07.05.2026 to 07.18.2026</t>
  </si>
  <si>
    <t>Restaurant Manager Wages - Payroll Period 07.05.2026 to 07.18.2026</t>
  </si>
  <si>
    <t>Banq Server Wages - Payroll Period 07.05.2026 to 07.18.2026</t>
  </si>
  <si>
    <t>Server Wages - Payroll Period 07.05.2026 to 07.18.2026</t>
  </si>
  <si>
    <t>Host Person Wages - Payroll Period 07.05.2026 to 07.18.2026</t>
  </si>
  <si>
    <t>Line Cook OT - Payroll Period 07.05.2026 to 07.18.2026</t>
  </si>
  <si>
    <t>Line Cook Wages - Payroll Period 07.05.2026 to 07.18.2026</t>
  </si>
  <si>
    <t>Kitchen Utility Wages - Payroll Period 07.05.2026 to 07.18.2026</t>
  </si>
  <si>
    <t>Bartender Wages - Payroll Period 07.05.2026 to 07.18.2026</t>
  </si>
  <si>
    <t>GM Wages - Payroll Period 07.05.2026 to 07.18.2026</t>
  </si>
  <si>
    <t>HR Wages - Payroll Period 07.05.2026 to 07.18.2026</t>
  </si>
  <si>
    <t>Accounting Wages - Payroll Period 07.05.2026 to 07.18.2026</t>
  </si>
  <si>
    <t>DOS Wages - Payroll Period 07.05.2026 to 07.18.2026</t>
  </si>
  <si>
    <t>Sales Manager Wages - Payroll Period 07.05.2026 to 07.18.2026</t>
  </si>
  <si>
    <t>Sales Admin OT - Payroll Period 07.05.2026 to 07.18.2026</t>
  </si>
  <si>
    <t>Sales Administrative Wages - Payroll Period 07.05.2026 to 07.18.2026</t>
  </si>
  <si>
    <t>Maintenance Chief Wages - Payroll Period 07.05.2026 to 07.18.2026</t>
  </si>
  <si>
    <t>Maint Tech Wages - Payroll Period 07.05.2026 to 07.18.2026</t>
  </si>
  <si>
    <t>Sum of Debit</t>
  </si>
  <si>
    <t>Sum of Credit</t>
  </si>
  <si>
    <t>Grand Total</t>
  </si>
  <si>
    <t>Column Labels</t>
  </si>
  <si>
    <t>Total Sum of Debit</t>
  </si>
  <si>
    <t>Total Sum of Credit</t>
  </si>
  <si>
    <t>NS Account</t>
  </si>
  <si>
    <t>GL Account</t>
  </si>
  <si>
    <t>F&amp;B Outlet</t>
  </si>
  <si>
    <t>ADP Dept</t>
  </si>
  <si>
    <t>Department Title</t>
  </si>
  <si>
    <t>Division (Just for reference)</t>
  </si>
  <si>
    <t>NS Account Name</t>
  </si>
  <si>
    <t>Night Audit</t>
  </si>
  <si>
    <t>Rooms - Front Desk</t>
  </si>
  <si>
    <t>Night Auditor Regular Pay</t>
  </si>
  <si>
    <t>Night Auditor Overtime</t>
  </si>
  <si>
    <t>Night Audit Supervisor</t>
  </si>
  <si>
    <t>Guest Service Management</t>
  </si>
  <si>
    <t>Guest Service Manager Regular Pay</t>
  </si>
  <si>
    <t>60010OT</t>
  </si>
  <si>
    <t>Guest Service Manager Overtime</t>
  </si>
  <si>
    <t>60015R</t>
  </si>
  <si>
    <t>Asst. Guest Service Management</t>
  </si>
  <si>
    <t>Asst. Guest Service Manager Regular Pay</t>
  </si>
  <si>
    <t>60015OT</t>
  </si>
  <si>
    <t>Asst. Guest Service Manager Overtime</t>
  </si>
  <si>
    <t>Rooms Division Manager</t>
  </si>
  <si>
    <t>Rooms Division Manager Regular Pay</t>
  </si>
  <si>
    <t>60020OT</t>
  </si>
  <si>
    <t>Rooms Division Manager Overtime</t>
  </si>
  <si>
    <t>60030R</t>
  </si>
  <si>
    <t>Asst. General Manager - RMS</t>
  </si>
  <si>
    <t>Rooms</t>
  </si>
  <si>
    <t>AGM - Rooms Regular Pay</t>
  </si>
  <si>
    <t>60030OT</t>
  </si>
  <si>
    <t>AGM - Rooms Overtime</t>
  </si>
  <si>
    <t>Guest Service Supervisor</t>
  </si>
  <si>
    <t>Guest Service Supervisor Regular Pay</t>
  </si>
  <si>
    <t>Guest Service Supervisor Overtime</t>
  </si>
  <si>
    <t>Guest Service Representatives</t>
  </si>
  <si>
    <t>Guest Service Representatives Regular Pay</t>
  </si>
  <si>
    <t>60050OT</t>
  </si>
  <si>
    <t>Guest Service Representatives Overtime</t>
  </si>
  <si>
    <t>Night Guest Service Rep</t>
  </si>
  <si>
    <t>Group Rooms Coordinator</t>
  </si>
  <si>
    <t>60100R</t>
  </si>
  <si>
    <t>Reservations</t>
  </si>
  <si>
    <t>Reservations Regular Pay</t>
  </si>
  <si>
    <t>60100OT</t>
  </si>
  <si>
    <t>Reservations Overtime</t>
  </si>
  <si>
    <t>60120R</t>
  </si>
  <si>
    <t>Front Office Manager</t>
  </si>
  <si>
    <t>Front Office Manager Regular Pay</t>
  </si>
  <si>
    <t>60120OT</t>
  </si>
  <si>
    <t>Front Office Manager Overtime</t>
  </si>
  <si>
    <t>Concierge</t>
  </si>
  <si>
    <t>Concierge Regular Pay</t>
  </si>
  <si>
    <t>Concierge Overtime</t>
  </si>
  <si>
    <t>Executive Housekeeper</t>
  </si>
  <si>
    <t>Rooms - Housekeeping</t>
  </si>
  <si>
    <t>Executive Housekeeper Regular Pay</t>
  </si>
  <si>
    <t>60300OT</t>
  </si>
  <si>
    <t>Executive Housekeeper Overtime</t>
  </si>
  <si>
    <t>Housekeeping</t>
  </si>
  <si>
    <t>Room Attendants Regular Pay</t>
  </si>
  <si>
    <t>Room Attendants Overtime</t>
  </si>
  <si>
    <t>Overnight Housekeeping</t>
  </si>
  <si>
    <t>60360R</t>
  </si>
  <si>
    <t>Turndown Attendant</t>
  </si>
  <si>
    <t>Turn Down Attendants Regular Pay</t>
  </si>
  <si>
    <t>60360OT</t>
  </si>
  <si>
    <t>Turn Down Attendants Overtime</t>
  </si>
  <si>
    <t>60380R</t>
  </si>
  <si>
    <t>Assistant Housekeeper</t>
  </si>
  <si>
    <t>Assistant Housekeeper Regular Pay</t>
  </si>
  <si>
    <t>60380OT</t>
  </si>
  <si>
    <t>Assistant Housekeeper Overtime</t>
  </si>
  <si>
    <t>Housekeeping Inspector</t>
  </si>
  <si>
    <t>Inspectors Regular Pay</t>
  </si>
  <si>
    <t>60390OT</t>
  </si>
  <si>
    <t>Inspectors Overtime</t>
  </si>
  <si>
    <t>Housekeeping Supervisor</t>
  </si>
  <si>
    <t>60400R</t>
  </si>
  <si>
    <t>Breakfast</t>
  </si>
  <si>
    <t>Rooms - Hospitality</t>
  </si>
  <si>
    <t>Breakfast Hostess Regular Pay</t>
  </si>
  <si>
    <t>60400OT</t>
  </si>
  <si>
    <t>Breakfast Hostess Overtime</t>
  </si>
  <si>
    <t>Laundry</t>
  </si>
  <si>
    <t>Laundry Persons Regular Pay</t>
  </si>
  <si>
    <t>60500OT</t>
  </si>
  <si>
    <t>Laundry Persons Overtime</t>
  </si>
  <si>
    <t>Overnight Laundry</t>
  </si>
  <si>
    <t>60635R</t>
  </si>
  <si>
    <t>Public Space</t>
  </si>
  <si>
    <t>Rms-Public Area Regular Pay</t>
  </si>
  <si>
    <t>60635OT</t>
  </si>
  <si>
    <t>Rms-Public Area Overtime</t>
  </si>
  <si>
    <t>60640R</t>
  </si>
  <si>
    <t>Bell</t>
  </si>
  <si>
    <t>Bell Persons Regular Pay</t>
  </si>
  <si>
    <t>60640OT</t>
  </si>
  <si>
    <t>Bell Persons Overtime</t>
  </si>
  <si>
    <t>House Person</t>
  </si>
  <si>
    <t>House Persons Regular Pay</t>
  </si>
  <si>
    <t>60650OT</t>
  </si>
  <si>
    <t>House Persons Overtime</t>
  </si>
  <si>
    <t>House Person Overnight rate</t>
  </si>
  <si>
    <t>60655R</t>
  </si>
  <si>
    <t>Overnight Houseperson</t>
  </si>
  <si>
    <t>Night Cleaners Regular Pay</t>
  </si>
  <si>
    <t>60655OT</t>
  </si>
  <si>
    <t>Night Cleaners Overtime</t>
  </si>
  <si>
    <t>60660R</t>
  </si>
  <si>
    <t>Shuttle Driver</t>
  </si>
  <si>
    <t>Van Driver Regular Pay</t>
  </si>
  <si>
    <t>60660OT</t>
  </si>
  <si>
    <t>Van Driver Overtime</t>
  </si>
  <si>
    <t>Overnight Shuttle Driver</t>
  </si>
  <si>
    <t>60665R</t>
  </si>
  <si>
    <t>Valet</t>
  </si>
  <si>
    <t>Bell/Door/Drivers Regular Pay</t>
  </si>
  <si>
    <t>60665OT</t>
  </si>
  <si>
    <t>Bell/Door/Drivers Overtime</t>
  </si>
  <si>
    <t>Valet Supervisor</t>
  </si>
  <si>
    <t>60670R</t>
  </si>
  <si>
    <t>Rooms Training</t>
  </si>
  <si>
    <t>Rms-Training Payroll Regular Pay</t>
  </si>
  <si>
    <t>60670OT</t>
  </si>
  <si>
    <t>Rms-Training Payroll Overtime</t>
  </si>
  <si>
    <t>60675R</t>
  </si>
  <si>
    <t>PBX</t>
  </si>
  <si>
    <t>PBX Operator Regular Pay</t>
  </si>
  <si>
    <t>60675OT</t>
  </si>
  <si>
    <t>PBX Operator Overtime</t>
  </si>
  <si>
    <t>00 F&amp;B General</t>
  </si>
  <si>
    <t>F&amp;B Management</t>
  </si>
  <si>
    <t>Food Management</t>
  </si>
  <si>
    <t>Food &amp; Beverage Manager Regular Pay</t>
  </si>
  <si>
    <t>62000OT</t>
  </si>
  <si>
    <t>Food &amp; Beverage Manager Overtime</t>
  </si>
  <si>
    <t>06 Lounge 1</t>
  </si>
  <si>
    <t>F&amp;B Management Bar</t>
  </si>
  <si>
    <t xml:space="preserve">07 Lounge 2 </t>
  </si>
  <si>
    <t>02 Restaurant 2</t>
  </si>
  <si>
    <t>03 Restaurant 3</t>
  </si>
  <si>
    <t>04 Restaurant 4</t>
  </si>
  <si>
    <t>05 Restaurant 5</t>
  </si>
  <si>
    <t>Executive Chef</t>
  </si>
  <si>
    <t>Food - Kitchen</t>
  </si>
  <si>
    <t>Executive Chef Regular Pay</t>
  </si>
  <si>
    <t>62050OT</t>
  </si>
  <si>
    <t>Executive Chef Overtime</t>
  </si>
  <si>
    <t>08 Lounge 3</t>
  </si>
  <si>
    <t>12 Lounge 4</t>
  </si>
  <si>
    <t>13 Lounge 5</t>
  </si>
  <si>
    <t>62060R</t>
  </si>
  <si>
    <t>Sous Chef</t>
  </si>
  <si>
    <t>Sous Chef Regular Pay</t>
  </si>
  <si>
    <t>62060OT</t>
  </si>
  <si>
    <t>Sous Chef Overtime</t>
  </si>
  <si>
    <t>Food Outlet Management</t>
  </si>
  <si>
    <t>Service Manager Regular Pay</t>
  </si>
  <si>
    <t>62110OT</t>
  </si>
  <si>
    <t>Service Manager Overtime</t>
  </si>
  <si>
    <t>62115R</t>
  </si>
  <si>
    <t>Food Outlet Asst. Management</t>
  </si>
  <si>
    <t>Asst. Service Manager Regular Pay</t>
  </si>
  <si>
    <t>62115OT</t>
  </si>
  <si>
    <t>Asst. Service Manager Overtime</t>
  </si>
  <si>
    <t>62200R</t>
  </si>
  <si>
    <t>Banquet Manager</t>
  </si>
  <si>
    <t>Banquets</t>
  </si>
  <si>
    <t>Banquet Manager Regular Pay</t>
  </si>
  <si>
    <t>62200OT</t>
  </si>
  <si>
    <t>Banquet Manager Overtime</t>
  </si>
  <si>
    <t>62210R</t>
  </si>
  <si>
    <t>Asst. Banquet Manager</t>
  </si>
  <si>
    <t>Asst. Banquet Manager Regular Pay</t>
  </si>
  <si>
    <t>62210OT</t>
  </si>
  <si>
    <t>Asst. Banquet Manager Overtime</t>
  </si>
  <si>
    <t>62220R</t>
  </si>
  <si>
    <t>Banquet Captain</t>
  </si>
  <si>
    <t>Banquet Captain Regular Pay</t>
  </si>
  <si>
    <t>62220OT</t>
  </si>
  <si>
    <t>Banquet Captain Overtime</t>
  </si>
  <si>
    <t>Banquet Server</t>
  </si>
  <si>
    <t>Food Service Regular Pay</t>
  </si>
  <si>
    <t>62260OT</t>
  </si>
  <si>
    <t>Food Service Overtime</t>
  </si>
  <si>
    <t>62250R</t>
  </si>
  <si>
    <t>Purchasing</t>
  </si>
  <si>
    <t>Food</t>
  </si>
  <si>
    <t>Purchasing Agent Regular Pay</t>
  </si>
  <si>
    <t>62250OT</t>
  </si>
  <si>
    <t>Purchasing Agent Overtime</t>
  </si>
  <si>
    <t>Waitstaff</t>
  </si>
  <si>
    <t>Food - Restaurant</t>
  </si>
  <si>
    <t>10 Café</t>
  </si>
  <si>
    <t xml:space="preserve">Waitstaff </t>
  </si>
  <si>
    <t>Barback</t>
  </si>
  <si>
    <t>62261R</t>
  </si>
  <si>
    <t>Room Service</t>
  </si>
  <si>
    <t>Food Room Service</t>
  </si>
  <si>
    <t>Room Service Regular Pay</t>
  </si>
  <si>
    <t>62261OT</t>
  </si>
  <si>
    <t>Room Service Overtime</t>
  </si>
  <si>
    <t>Overnight Room Service</t>
  </si>
  <si>
    <t>09 Room Service</t>
  </si>
  <si>
    <t>Room Service Dispatcher</t>
  </si>
  <si>
    <t>Host</t>
  </si>
  <si>
    <t>Host Persons Regular Pay</t>
  </si>
  <si>
    <t>62300OT</t>
  </si>
  <si>
    <t>Host Persons Overtime</t>
  </si>
  <si>
    <t>62350R</t>
  </si>
  <si>
    <t>Banquet Culinary</t>
  </si>
  <si>
    <t>Food Service-Catering Regular Pay</t>
  </si>
  <si>
    <t>62350OT</t>
  </si>
  <si>
    <t>Food Service-Catering Overtime</t>
  </si>
  <si>
    <t>Culinary</t>
  </si>
  <si>
    <t>Food Production Regular Pay</t>
  </si>
  <si>
    <t>Food Production Overtime</t>
  </si>
  <si>
    <t>62550R</t>
  </si>
  <si>
    <t>Food Expeditor</t>
  </si>
  <si>
    <t>Bussers Regular Pay</t>
  </si>
  <si>
    <t>62550OT</t>
  </si>
  <si>
    <t>Bussers Overtime</t>
  </si>
  <si>
    <t>62560R</t>
  </si>
  <si>
    <t>Banquet Setup</t>
  </si>
  <si>
    <t>Banquet Setup Regular Pay</t>
  </si>
  <si>
    <t>62560OT</t>
  </si>
  <si>
    <t>Banquet Setup Overtime</t>
  </si>
  <si>
    <t>Kitchen Steward</t>
  </si>
  <si>
    <t>Utility Persons Regular Pay</t>
  </si>
  <si>
    <t>62600OT</t>
  </si>
  <si>
    <t>Utility Persons Overtime</t>
  </si>
  <si>
    <t>Bartender Restaurant</t>
  </si>
  <si>
    <t>Food - Bar</t>
  </si>
  <si>
    <t>Bartender Regular Pay</t>
  </si>
  <si>
    <t>64100OT</t>
  </si>
  <si>
    <t>Bartender Overtime</t>
  </si>
  <si>
    <t>07 Lounge 2</t>
  </si>
  <si>
    <t>64200R</t>
  </si>
  <si>
    <t>Bar Server Restaurant</t>
  </si>
  <si>
    <t>Cocktail Servers Regular Pay</t>
  </si>
  <si>
    <t>64200OT</t>
  </si>
  <si>
    <t>Cocktail Servers Overtime</t>
  </si>
  <si>
    <t>64120R</t>
  </si>
  <si>
    <t>Bar Manager Restaurant</t>
  </si>
  <si>
    <t>Beverage Manager Regular Pay</t>
  </si>
  <si>
    <t>64120OT</t>
  </si>
  <si>
    <t>Beverage Manager Overtime</t>
  </si>
  <si>
    <t>62800R</t>
  </si>
  <si>
    <t>F&amp;B Training</t>
  </si>
  <si>
    <t>Training Payroll Regular Pay</t>
  </si>
  <si>
    <t>62800OT</t>
  </si>
  <si>
    <t>Training Payroll Overtime</t>
  </si>
  <si>
    <t>Bartender</t>
  </si>
  <si>
    <t>Beverage</t>
  </si>
  <si>
    <t>Bar Manager</t>
  </si>
  <si>
    <t>64150R</t>
  </si>
  <si>
    <t>Banquet Bartender</t>
  </si>
  <si>
    <t>Banquet Bartender Regular Pay</t>
  </si>
  <si>
    <t>64150OT</t>
  </si>
  <si>
    <t>Banquet Bartender Overtime</t>
  </si>
  <si>
    <t>Cocktail Server</t>
  </si>
  <si>
    <t>Sommelier</t>
  </si>
  <si>
    <t>66100R</t>
  </si>
  <si>
    <t>Cafe Barista</t>
  </si>
  <si>
    <t>Café</t>
  </si>
  <si>
    <t>Barista Regular Pay</t>
  </si>
  <si>
    <t>66100OT</t>
  </si>
  <si>
    <t>Barista Overtime</t>
  </si>
  <si>
    <t>66105R</t>
  </si>
  <si>
    <t>Cafe Manager</t>
  </si>
  <si>
    <t>Espresso Manager Regular Pay</t>
  </si>
  <si>
    <t>66105OT</t>
  </si>
  <si>
    <t>Espresso Manager Overtime</t>
  </si>
  <si>
    <t>68000R</t>
  </si>
  <si>
    <t>Marketplace</t>
  </si>
  <si>
    <t>Tenant</t>
  </si>
  <si>
    <t>Cashiers - Gift Shop Regular Pay</t>
  </si>
  <si>
    <t>68000OT</t>
  </si>
  <si>
    <t>Cashiers - Gift Shop Overtime</t>
  </si>
  <si>
    <t>68100R</t>
  </si>
  <si>
    <t>Parking Supervisors</t>
  </si>
  <si>
    <t>Parking Supervisors Regular Pay</t>
  </si>
  <si>
    <t>68100OT</t>
  </si>
  <si>
    <t>Parking Supervisors Overtime</t>
  </si>
  <si>
    <t>68101R</t>
  </si>
  <si>
    <t>Parking Attendants</t>
  </si>
  <si>
    <t>Parking Attendants Regular Pay</t>
  </si>
  <si>
    <t>68101OT</t>
  </si>
  <si>
    <t>Parking Attendants Overtime</t>
  </si>
  <si>
    <t>68230R</t>
  </si>
  <si>
    <t>Tenant Janitory</t>
  </si>
  <si>
    <t>Janitor - Tenant Regular Pay</t>
  </si>
  <si>
    <t>68230OT</t>
  </si>
  <si>
    <t>Janitor - Tenant Overtime</t>
  </si>
  <si>
    <t>68232R</t>
  </si>
  <si>
    <t>Tenant Wages</t>
  </si>
  <si>
    <t>On Site Wages Regular Pay</t>
  </si>
  <si>
    <t>68232OT</t>
  </si>
  <si>
    <t>On Site Wages Overtime</t>
  </si>
  <si>
    <t>69000R</t>
  </si>
  <si>
    <t>Spa Management</t>
  </si>
  <si>
    <t>Recreation/Amenities</t>
  </si>
  <si>
    <t>Spa Management Regular Pay</t>
  </si>
  <si>
    <t>69000OT</t>
  </si>
  <si>
    <t>Spa Management Overtime</t>
  </si>
  <si>
    <t>69010R</t>
  </si>
  <si>
    <t>Spa Attendant</t>
  </si>
  <si>
    <t>Spa Attendant Regular Pay</t>
  </si>
  <si>
    <t>69010OT</t>
  </si>
  <si>
    <t>Spa Attendant Overtime</t>
  </si>
  <si>
    <t xml:space="preserve">Spa Attendant </t>
  </si>
  <si>
    <t>69020R</t>
  </si>
  <si>
    <t>Spa Concierge</t>
  </si>
  <si>
    <t>Concierge - Spa Regular Pay</t>
  </si>
  <si>
    <t>69020OT</t>
  </si>
  <si>
    <t>Concierge - Spa Overtime</t>
  </si>
  <si>
    <t>69030R</t>
  </si>
  <si>
    <t>Spa Front Desk</t>
  </si>
  <si>
    <t>Front Desk - Spa Regular Pay</t>
  </si>
  <si>
    <t>69030OT</t>
  </si>
  <si>
    <t>Front Desk - Spa Overtime</t>
  </si>
  <si>
    <t>69040R</t>
  </si>
  <si>
    <t>Spa Fitness</t>
  </si>
  <si>
    <t>Fitness - Spa Regular Pay</t>
  </si>
  <si>
    <t>69040OT</t>
  </si>
  <si>
    <t>Fitness - Spa Overtime</t>
  </si>
  <si>
    <t>69050R</t>
  </si>
  <si>
    <t>Spa Therapists/Technicians</t>
  </si>
  <si>
    <t>Therapists/Technicians - Spa Regular Pay</t>
  </si>
  <si>
    <t>69050OT</t>
  </si>
  <si>
    <t>Therapists/Technicians - Spa Overtime</t>
  </si>
  <si>
    <t>69400R</t>
  </si>
  <si>
    <t>Mini Bar Manager</t>
  </si>
  <si>
    <t>Mini Bar Manager Regular Pay</t>
  </si>
  <si>
    <t>69400OT</t>
  </si>
  <si>
    <t>Mini Bar Manager Overtime Pay</t>
  </si>
  <si>
    <t>69401R</t>
  </si>
  <si>
    <t>Mini Bar Attendant</t>
  </si>
  <si>
    <t>Mini Bar Attendant Regular Pay</t>
  </si>
  <si>
    <t>69401OT</t>
  </si>
  <si>
    <t>Mini Bar Attendant Overtime Pay</t>
  </si>
  <si>
    <t>69500R</t>
  </si>
  <si>
    <t>Recreation Manager</t>
  </si>
  <si>
    <t>Recreation - Manager Regular Pay</t>
  </si>
  <si>
    <t>69500OT</t>
  </si>
  <si>
    <t>Recreation - Manager Overtime</t>
  </si>
  <si>
    <t>69505R</t>
  </si>
  <si>
    <t>Recreation Supervisor</t>
  </si>
  <si>
    <t>Recreation - Supervisor Regular Pay</t>
  </si>
  <si>
    <t>69505OT</t>
  </si>
  <si>
    <t>Recreation - Supervisor Overtime</t>
  </si>
  <si>
    <t>69510R</t>
  </si>
  <si>
    <t>Recreation Admission Atendant</t>
  </si>
  <si>
    <t>Recreation - Attendant Regular Pay</t>
  </si>
  <si>
    <t>69510OT</t>
  </si>
  <si>
    <t>Recreation - Attendant Overtime</t>
  </si>
  <si>
    <t>69515R</t>
  </si>
  <si>
    <t>Recreation Steward</t>
  </si>
  <si>
    <t>Recreation - Steward Regular Pay</t>
  </si>
  <si>
    <t>69515OT</t>
  </si>
  <si>
    <t>Recreation - Steward Overtime</t>
  </si>
  <si>
    <t>69520R</t>
  </si>
  <si>
    <t>Pool Attendant</t>
  </si>
  <si>
    <t>Pool Attendant Regular Pay - Recreation</t>
  </si>
  <si>
    <t>69520OT</t>
  </si>
  <si>
    <t>Pool Attendant Overtime - Recreation</t>
  </si>
  <si>
    <t>69525R</t>
  </si>
  <si>
    <t>Life Guard</t>
  </si>
  <si>
    <t>Recreation - Life Guard Regular Pay</t>
  </si>
  <si>
    <t>69525OT</t>
  </si>
  <si>
    <t>Recreation - Life Guard Overtime</t>
  </si>
  <si>
    <t>69530R</t>
  </si>
  <si>
    <t>Recreation Training</t>
  </si>
  <si>
    <t>Recreation - Training Payroll Regular Pay</t>
  </si>
  <si>
    <t>69530OT</t>
  </si>
  <si>
    <t>Recreation - Training Payroll Overtime</t>
  </si>
  <si>
    <t>71000R</t>
  </si>
  <si>
    <t>IT Manager</t>
  </si>
  <si>
    <t>IT/TELCOM</t>
  </si>
  <si>
    <t>IT Manager Regular Pay</t>
  </si>
  <si>
    <t>71000OT</t>
  </si>
  <si>
    <t>IT Manager Overtime</t>
  </si>
  <si>
    <t>71100R</t>
  </si>
  <si>
    <t>Information Technology</t>
  </si>
  <si>
    <t>Information Technology Regular Pay</t>
  </si>
  <si>
    <t>71100OT</t>
  </si>
  <si>
    <t>Information Technology Overtime</t>
  </si>
  <si>
    <t>71150R</t>
  </si>
  <si>
    <t>Telecommunications</t>
  </si>
  <si>
    <t>Telecommunications Regular Pay</t>
  </si>
  <si>
    <t>71150OT</t>
  </si>
  <si>
    <t>Telecommunications Overtime</t>
  </si>
  <si>
    <t>General Manager</t>
  </si>
  <si>
    <t>A&amp;G</t>
  </si>
  <si>
    <t>General Manager Regular Pay</t>
  </si>
  <si>
    <t>73000OT</t>
  </si>
  <si>
    <t>General Manager Overtime</t>
  </si>
  <si>
    <t>73100R</t>
  </si>
  <si>
    <t>Asst. General Manager - A&amp;G</t>
  </si>
  <si>
    <t>Assistant General Manager Regular Pay</t>
  </si>
  <si>
    <t>73100OT</t>
  </si>
  <si>
    <t>Assistant General Manager Overtime</t>
  </si>
  <si>
    <t>73300R</t>
  </si>
  <si>
    <t>General Administrative</t>
  </si>
  <si>
    <t>Administrative Assistant Regular Pay</t>
  </si>
  <si>
    <t>73300OT</t>
  </si>
  <si>
    <t>Administrative Assistant Overtime</t>
  </si>
  <si>
    <t>Human Resource Manager</t>
  </si>
  <si>
    <t>Human Resource Manager Regular Pay</t>
  </si>
  <si>
    <t>73400OT</t>
  </si>
  <si>
    <t>Human Resource Manager Overtime</t>
  </si>
  <si>
    <t>Accounting</t>
  </si>
  <si>
    <t>Accounting Regular Pay</t>
  </si>
  <si>
    <t>73500OT</t>
  </si>
  <si>
    <t>Accounting Overtime</t>
  </si>
  <si>
    <t>73510R</t>
  </si>
  <si>
    <t>Accounting Administrative</t>
  </si>
  <si>
    <t>Accounting - Hourly Regular Pay</t>
  </si>
  <si>
    <t>73510OT</t>
  </si>
  <si>
    <t>Accounting - Hourly Overtime</t>
  </si>
  <si>
    <t>73600R</t>
  </si>
  <si>
    <t>Safety &amp; Loss Prevention</t>
  </si>
  <si>
    <t>Security Regular Pay</t>
  </si>
  <si>
    <t>73600OT</t>
  </si>
  <si>
    <t>Security Overtime</t>
  </si>
  <si>
    <t>Safety &amp; Loss Prevention Overnight</t>
  </si>
  <si>
    <t>73700R</t>
  </si>
  <si>
    <t>Receiving</t>
  </si>
  <si>
    <t>Receiving Regular Pay</t>
  </si>
  <si>
    <t>73700OT</t>
  </si>
  <si>
    <t>Receiving Overtime</t>
  </si>
  <si>
    <t>Sales and Marketing</t>
  </si>
  <si>
    <t>Sales</t>
  </si>
  <si>
    <t>Director of Sales Regular Pay</t>
  </si>
  <si>
    <t>75010OT</t>
  </si>
  <si>
    <t>Director of Sales Overtime</t>
  </si>
  <si>
    <t>Sales Manager</t>
  </si>
  <si>
    <t>Sales Manager Regular Pay</t>
  </si>
  <si>
    <t>75020OT</t>
  </si>
  <si>
    <t>Sales Manager Overtime</t>
  </si>
  <si>
    <t>75030R</t>
  </si>
  <si>
    <t>Revenue Manager</t>
  </si>
  <si>
    <t>Revenue Manager Regular Pay</t>
  </si>
  <si>
    <t>75030OT</t>
  </si>
  <si>
    <t>Revenue Manager Overtime</t>
  </si>
  <si>
    <t>75050R</t>
  </si>
  <si>
    <t>Outside Sales Person</t>
  </si>
  <si>
    <t>Outside Sales Person Regular Pay</t>
  </si>
  <si>
    <t>75050OT</t>
  </si>
  <si>
    <t>Outside Sales Person Overtime</t>
  </si>
  <si>
    <t>75100R</t>
  </si>
  <si>
    <t>Outside Catering Sales</t>
  </si>
  <si>
    <t>Outside Catering Sales Regular Pay</t>
  </si>
  <si>
    <t>75100OT</t>
  </si>
  <si>
    <t>Outside Catering Sales Overtime</t>
  </si>
  <si>
    <t>75200R</t>
  </si>
  <si>
    <t>Director of Catering</t>
  </si>
  <si>
    <t>Director of Catering Regular Pay</t>
  </si>
  <si>
    <t>75200OT</t>
  </si>
  <si>
    <t>Director of Catering Overtime</t>
  </si>
  <si>
    <t>75300R</t>
  </si>
  <si>
    <t>Catering Sales Manager</t>
  </si>
  <si>
    <t>Catering Sales Manager Regular Pay</t>
  </si>
  <si>
    <t>75300OT</t>
  </si>
  <si>
    <t>Catering Sales Manager Overtime</t>
  </si>
  <si>
    <t>75400R</t>
  </si>
  <si>
    <t>Conference Service Manager</t>
  </si>
  <si>
    <t>Conference Service Manager Regular Pay</t>
  </si>
  <si>
    <t>75400OT</t>
  </si>
  <si>
    <t>Conference Service Manager Overtime</t>
  </si>
  <si>
    <t>Sales Administrative</t>
  </si>
  <si>
    <t>Sales Admin Assistant Regular Pay</t>
  </si>
  <si>
    <t>Sales Admin Assistant Overtime</t>
  </si>
  <si>
    <t>75600R</t>
  </si>
  <si>
    <t>EDS Revenue Mgr</t>
  </si>
  <si>
    <t>EDS Revenue Mgr Regular Pay</t>
  </si>
  <si>
    <t>75600OT</t>
  </si>
  <si>
    <t>EDS Revenue Mgr Overtime</t>
  </si>
  <si>
    <t>Chief Engineer</t>
  </si>
  <si>
    <t>Maint/Eng</t>
  </si>
  <si>
    <t>Maintenance Chief Regular Pay</t>
  </si>
  <si>
    <t>77000OT</t>
  </si>
  <si>
    <t>Maintenance Chief Overtime</t>
  </si>
  <si>
    <t>Assistant Chief Engineer</t>
  </si>
  <si>
    <t>Maintenance</t>
  </si>
  <si>
    <t>Maintenance Technicians Regular Pay</t>
  </si>
  <si>
    <t>77100OT</t>
  </si>
  <si>
    <t>Maintenance Technicians Overtime</t>
  </si>
  <si>
    <t>Overnight Maintenance</t>
  </si>
  <si>
    <t>77200R</t>
  </si>
  <si>
    <t>Maintenance Pool Attendants</t>
  </si>
  <si>
    <t>Maintenance-Pool Attendants Regular Pay</t>
  </si>
  <si>
    <t>77200OT</t>
  </si>
  <si>
    <t>Maintenance Pool Attendants Overtime</t>
  </si>
  <si>
    <t>77300R</t>
  </si>
  <si>
    <t>Maintenance Special Projects</t>
  </si>
  <si>
    <t>Maintenance Special Projects Regular Pay</t>
  </si>
  <si>
    <t>77300OT</t>
  </si>
  <si>
    <t>Maintenance Special Projects Overtime</t>
  </si>
  <si>
    <t>77700R</t>
  </si>
  <si>
    <t>Maintenance Facilities Director</t>
  </si>
  <si>
    <t>Maintenance Facilities Director Regular Pay</t>
  </si>
  <si>
    <t>77700OT</t>
  </si>
  <si>
    <t>Maintenance Facilities Director Overtime</t>
  </si>
  <si>
    <t>88100R</t>
  </si>
  <si>
    <t>Hospitality Bartender</t>
  </si>
  <si>
    <t>Hospitality (Select hotels)</t>
  </si>
  <si>
    <t>Bartender - Hospitality Regular Pay</t>
  </si>
  <si>
    <t>88100OT</t>
  </si>
  <si>
    <t>Bartender - Hospitality Overtime</t>
  </si>
  <si>
    <t>88101R</t>
  </si>
  <si>
    <t>Hospitality Food Production</t>
  </si>
  <si>
    <t>Food Production - Hospitality Regular Pay</t>
  </si>
  <si>
    <t>88101OT</t>
  </si>
  <si>
    <t>Food Production - Hospitality Overtime</t>
  </si>
  <si>
    <t>88102R</t>
  </si>
  <si>
    <t>Hospitality Attendant</t>
  </si>
  <si>
    <t>Host Persons - Hospitality Regular Pay</t>
  </si>
  <si>
    <t>88102OT</t>
  </si>
  <si>
    <t>Host Persons - Hospitality Overtime</t>
  </si>
  <si>
    <t>88200R</t>
  </si>
  <si>
    <t>Laundry Department</t>
  </si>
  <si>
    <t>Laundry (Select hotels)</t>
  </si>
  <si>
    <t>Laundry Labor - Regular Pay</t>
  </si>
  <si>
    <t>88200OT</t>
  </si>
  <si>
    <t>Laundry Labor - Overtime</t>
  </si>
  <si>
    <t>Overnight Laundry Department</t>
  </si>
  <si>
    <t>88400R</t>
  </si>
  <si>
    <t>Staff Dining Manager</t>
  </si>
  <si>
    <t>Staff Dining Manager Regular Pay</t>
  </si>
  <si>
    <t>88400OT</t>
  </si>
  <si>
    <t>Staff Dining Manager Overtime Pay</t>
  </si>
  <si>
    <t>88401R</t>
  </si>
  <si>
    <t>Staff Dining Attendant</t>
  </si>
  <si>
    <t>Staff Dining Attendant Regular Pay</t>
  </si>
  <si>
    <t>88401OT</t>
  </si>
  <si>
    <t>Staff Dining Attendant Overtime Pay</t>
  </si>
  <si>
    <t>88402R</t>
  </si>
  <si>
    <t>Staff Dining Cook</t>
  </si>
  <si>
    <t>Staff Dining Cook Regular Pay</t>
  </si>
  <si>
    <t>88402OT</t>
  </si>
  <si>
    <t>Staff Dining Cook Overtime Pay</t>
  </si>
  <si>
    <t>ADP Department Title</t>
  </si>
  <si>
    <t>Netsuite GL Account Name</t>
  </si>
  <si>
    <t>NetSuite GL#</t>
  </si>
  <si>
    <t>Income Statement Account Name</t>
  </si>
  <si>
    <t>Hotel Equities Group, LLC</t>
  </si>
  <si>
    <t>Hotel Equities Group (Parent) : Hotels : The Hotel Group : Seattle Tower I LLC : The Sound Hotel Seattle Belltown, Tapestry Collection by Hilton</t>
  </si>
  <si>
    <t>Income Statement</t>
  </si>
  <si>
    <t>May 2026, Jun 2026, Jul 2026</t>
  </si>
  <si>
    <t/>
  </si>
  <si>
    <t>May 2026</t>
  </si>
  <si>
    <t>Jun 2026</t>
  </si>
  <si>
    <t>Jul 2026</t>
  </si>
  <si>
    <t>Total</t>
  </si>
  <si>
    <t> </t>
  </si>
  <si>
    <t>Amount</t>
  </si>
  <si>
    <t>Ordinary Income/Expense</t>
  </si>
  <si>
    <t>Income</t>
  </si>
  <si>
    <t>40025 - Retail</t>
  </si>
  <si>
    <t>40060 - Discount</t>
  </si>
  <si>
    <t>40075 - Negotiated -Corporate</t>
  </si>
  <si>
    <t>40085 - Negotiated - Local</t>
  </si>
  <si>
    <t>40210 - Qualified</t>
  </si>
  <si>
    <t>40225 - Wholesale</t>
  </si>
  <si>
    <t>40310 - Corporate</t>
  </si>
  <si>
    <t>40410 - Association/Convention</t>
  </si>
  <si>
    <t>40460 - SMERF</t>
  </si>
  <si>
    <t>40630 - Other Room Revenue</t>
  </si>
  <si>
    <t>40950 - Room Revenue Allowance</t>
  </si>
  <si>
    <t>40970 - Cancellation Fees - Hotel</t>
  </si>
  <si>
    <t>40975 - Other Revenue</t>
  </si>
  <si>
    <t>42050 - Vending Commissions Revenue</t>
  </si>
  <si>
    <t>42100 - Valet Laundry Revenue</t>
  </si>
  <si>
    <t>42250 - Gift Shop Income</t>
  </si>
  <si>
    <t>42251 - Gift Shop - Liquor Revenue</t>
  </si>
  <si>
    <t>42252 - Gift Shop - Beer Revenue</t>
  </si>
  <si>
    <t>42253 - Gift Shop - Wine Revenue</t>
  </si>
  <si>
    <t>42400 - In-Room Internet</t>
  </si>
  <si>
    <t>42950 - Miscellaneous Revenue</t>
  </si>
  <si>
    <t>43100 - Breakfast</t>
  </si>
  <si>
    <t>43200 - Lunch</t>
  </si>
  <si>
    <t>43300 - Dinner</t>
  </si>
  <si>
    <t>43330 - Room Service Delivery Charge</t>
  </si>
  <si>
    <t>43500 - Food Allowances</t>
  </si>
  <si>
    <t>43750 - Banquet Room Rental</t>
  </si>
  <si>
    <t>43820 - Service Charge</t>
  </si>
  <si>
    <t>43825 - Banquet Tips</t>
  </si>
  <si>
    <t>43850 - Banquet Sundry/Equip. Rental</t>
  </si>
  <si>
    <t>43900 - Break</t>
  </si>
  <si>
    <t>44100 - Liquor</t>
  </si>
  <si>
    <t>44200 - Beer</t>
  </si>
  <si>
    <t>44300 - Wine</t>
  </si>
  <si>
    <t>48108 - Valet Parking Revenue</t>
  </si>
  <si>
    <t>Total - Income</t>
  </si>
  <si>
    <t>Cost Of Sales</t>
  </si>
  <si>
    <t>51000 - Cost of Local Calls</t>
  </si>
  <si>
    <t>51920 - IT-Cost of Cell Phones</t>
  </si>
  <si>
    <t>51950 - IT-Cost of Internet Services</t>
  </si>
  <si>
    <t>52100 - Valet Laundry Cost</t>
  </si>
  <si>
    <t>52250 - Cost of Gift Shop</t>
  </si>
  <si>
    <t>52251 - Cost of Gift Shop - Liquor</t>
  </si>
  <si>
    <t>52252 - Cost of Gift Shop - Beer</t>
  </si>
  <si>
    <t>52253 - Cost of Gift Shop - Wine</t>
  </si>
  <si>
    <t>53000 - Cost of Food</t>
  </si>
  <si>
    <t>54100 - Cost of Liquor</t>
  </si>
  <si>
    <t>54200 - Cost of Wine</t>
  </si>
  <si>
    <t>54300 - Cost of Beer</t>
  </si>
  <si>
    <t>Total - Cost Of Sales</t>
  </si>
  <si>
    <t>Gross Profit</t>
  </si>
  <si>
    <t>Expense</t>
  </si>
  <si>
    <t>60000S - Night Auditor</t>
  </si>
  <si>
    <t>60000OT - Night Auditor Overtime</t>
  </si>
  <si>
    <t>60000R - Night Auditor Regular Pay</t>
  </si>
  <si>
    <t>Total - 60000S - Night Auditor</t>
  </si>
  <si>
    <t>60010S - Guest Service Manager</t>
  </si>
  <si>
    <t>60010R - Guest Service Manager Regular Pay</t>
  </si>
  <si>
    <t>Total - 60010S - Guest Service Manager</t>
  </si>
  <si>
    <t>60020S - Rooms Division Manager</t>
  </si>
  <si>
    <t>60020R - Rooms Division Manager Regular Pay</t>
  </si>
  <si>
    <t>Total - 60020S - Rooms Division Manager</t>
  </si>
  <si>
    <t>60040S - Guest Service Supervisor</t>
  </si>
  <si>
    <t>60040OT - Guest Service Supervisor Overtime</t>
  </si>
  <si>
    <t>60040R - Guest Service Supervisor Regular Pay</t>
  </si>
  <si>
    <t>Total - 60040S - Guest Service Supervisor</t>
  </si>
  <si>
    <t>60050S - Guest Service Representatives</t>
  </si>
  <si>
    <t>60050OT - Guest Service Representatives Overtime</t>
  </si>
  <si>
    <t>60050R - Guest Service Representatives Regular Pay</t>
  </si>
  <si>
    <t>Total - 60050S - Guest Service Representatives</t>
  </si>
  <si>
    <t>60200S - Concierge</t>
  </si>
  <si>
    <t>60200OT - Concierge Overtime</t>
  </si>
  <si>
    <t>60200R - Concierge Regular Pay</t>
  </si>
  <si>
    <t>Total - 60200S - Concierge</t>
  </si>
  <si>
    <t>60300S - Executive Housekeeper</t>
  </si>
  <si>
    <t>60300R - Executive Housekeeper Regular Pay</t>
  </si>
  <si>
    <t>Total - 60300S - Executive Housekeeper</t>
  </si>
  <si>
    <t>60350S - Room Attendants</t>
  </si>
  <si>
    <t>60350OT - Room Attendants Overtime</t>
  </si>
  <si>
    <t>60350R - Room Attendants Regular Pay</t>
  </si>
  <si>
    <t>Total - 60350S - Room Attendants</t>
  </si>
  <si>
    <t>60390S - Inspectors</t>
  </si>
  <si>
    <t>60390R - Inspectors Regular Pay</t>
  </si>
  <si>
    <t>Total - 60390S - Inspectors</t>
  </si>
  <si>
    <t>60500S - Laundry Person</t>
  </si>
  <si>
    <t>60500R - Laundry Persons Regular Pay</t>
  </si>
  <si>
    <t>Total - 60500S - Laundry Person</t>
  </si>
  <si>
    <t>60650S - House Person</t>
  </si>
  <si>
    <t>60650R - House Persons Regular Pay</t>
  </si>
  <si>
    <t>Total - 60650S - House Person</t>
  </si>
  <si>
    <t>60680 - Service Charge Distribution - Rooms</t>
  </si>
  <si>
    <t>60700 - Bonuses and Incentives - Rooms</t>
  </si>
  <si>
    <t>60920 - Payroll Taxes-Rooms</t>
  </si>
  <si>
    <t>60940 - Benefits-Rooms</t>
  </si>
  <si>
    <t>60960 - Workers Compensation-Rooms</t>
  </si>
  <si>
    <t>60990 - Supplemental Pay-Rooms</t>
  </si>
  <si>
    <t>61060 - Complimentary In-Room Entertain</t>
  </si>
  <si>
    <t>61165 - Dues and Subscriptions</t>
  </si>
  <si>
    <t>61220 - Reservation Assessments</t>
  </si>
  <si>
    <t>61260 - Complimentary Food and Beverage</t>
  </si>
  <si>
    <t>61310 - Complimentary Services and Gifts - Rooms</t>
  </si>
  <si>
    <t>61340 - Printing and Stationery</t>
  </si>
  <si>
    <t>61485 - Laundry and Dry Cleaning</t>
  </si>
  <si>
    <t>61500 - Linens</t>
  </si>
  <si>
    <t>61550 - Cleaning Supplies - Rooms</t>
  </si>
  <si>
    <t>61600 - Guest Supplies - Rooms</t>
  </si>
  <si>
    <t>61620 - Operating Supplies - Rooms</t>
  </si>
  <si>
    <t>61710 - Commissions - Rooms</t>
  </si>
  <si>
    <t>61750 - Commissions &amp; Fees - Group</t>
  </si>
  <si>
    <t>61950 - Uniforms - Rooms</t>
  </si>
  <si>
    <t>61955 - Uniform Laundry - Rooms</t>
  </si>
  <si>
    <t>62000S - Food &amp; Beverage Manager</t>
  </si>
  <si>
    <t>62000R - Food &amp; Beverage Manager Regular Pay</t>
  </si>
  <si>
    <t>Total - 62000S - Food &amp; Beverage Manager</t>
  </si>
  <si>
    <t>62050S - Executive Chef</t>
  </si>
  <si>
    <t>62050R - Executive Chef Regular Pay</t>
  </si>
  <si>
    <t>Total - 62050S - Executive Chef</t>
  </si>
  <si>
    <t>62110S - Service Manager</t>
  </si>
  <si>
    <t>62110R - Service Manager Regular Pay</t>
  </si>
  <si>
    <t>Total - 62110S - Service Manager</t>
  </si>
  <si>
    <t>62115S - Asst. Service Manager</t>
  </si>
  <si>
    <t>62115R - Asst. Service Manager Regular Pay</t>
  </si>
  <si>
    <t>Total - 62115S - Asst. Service Manager</t>
  </si>
  <si>
    <t>62230S - Banquet Other Wages</t>
  </si>
  <si>
    <t>62230R - Banquet Other Wages Regular Pay</t>
  </si>
  <si>
    <t>Total - 62230S - Banquet Other Wages</t>
  </si>
  <si>
    <t>62260S - Food Service</t>
  </si>
  <si>
    <t>62260R - Food Service Regular Pay</t>
  </si>
  <si>
    <t>Total - 62260S - Food Service</t>
  </si>
  <si>
    <t>62300S - Host Person</t>
  </si>
  <si>
    <t>62300R - Host Persons Regular Pay</t>
  </si>
  <si>
    <t>Total - 62300S - Host Person</t>
  </si>
  <si>
    <t>62500S - Food Production</t>
  </si>
  <si>
    <t>62500OT - Food Production Overtime</t>
  </si>
  <si>
    <t>62500R - Food Production Regular Pay</t>
  </si>
  <si>
    <t>Total - 62500S - Food Production</t>
  </si>
  <si>
    <t>62600S - Utility Person</t>
  </si>
  <si>
    <t>62600R - Utility Persons Regular Pay</t>
  </si>
  <si>
    <t>Total - 62600S - Utility Person</t>
  </si>
  <si>
    <t>62700 - Bonuses and Incentives - Food</t>
  </si>
  <si>
    <t>62920 - Payroll Taxes-Food</t>
  </si>
  <si>
    <t>62940 - Benefits-Food</t>
  </si>
  <si>
    <t>62960 - Workers Compensation-Food</t>
  </si>
  <si>
    <t>62990 - Supplemental Pay-Food</t>
  </si>
  <si>
    <t>62999 - Charge Tips</t>
  </si>
  <si>
    <t>63050 - China</t>
  </si>
  <si>
    <t>63060 - Flatware - F&amp;B</t>
  </si>
  <si>
    <t>63065 - Glassware - F&amp;B</t>
  </si>
  <si>
    <t>63090 - Contract Services - F&amp;B</t>
  </si>
  <si>
    <t>63095 - Commissions - F&amp;B</t>
  </si>
  <si>
    <t>63100 - Decorations - F&amp;B</t>
  </si>
  <si>
    <t>63155 - Equipment Rental - F&amp;B</t>
  </si>
  <si>
    <t>63160 - Audiovisual Cost - F&amp;B</t>
  </si>
  <si>
    <t>63200 - Kitchen Fuel - F&amp;B</t>
  </si>
  <si>
    <t>63340 - Menus and Beverage Lists - F&amp;B</t>
  </si>
  <si>
    <t>63450 - Music and Entertainment - F&amp;B</t>
  </si>
  <si>
    <t>63460 - Complimentary Services and Gifts - F&amp;B</t>
  </si>
  <si>
    <t>63470 - Linens - F&amp;B</t>
  </si>
  <si>
    <t>63500 - Kitchen Smallwares - F&amp;B</t>
  </si>
  <si>
    <t>63550 - Cleaning Supplies - F&amp;B</t>
  </si>
  <si>
    <t>63610 - Paper and Plastics - F&amp;B</t>
  </si>
  <si>
    <t>63620 - Operating Supplies - F&amp;B</t>
  </si>
  <si>
    <t>63640 - Utensils - F&amp;B</t>
  </si>
  <si>
    <t>63750 - Uniforms - F&amp;B</t>
  </si>
  <si>
    <t>63880 - Training - F&amp;B</t>
  </si>
  <si>
    <t>63905 - Service Charge Distribution - Food</t>
  </si>
  <si>
    <t>64100S - Bartender</t>
  </si>
  <si>
    <t>64100OT - Bartender Overtime</t>
  </si>
  <si>
    <t>64100R - Bartender Regular Pay</t>
  </si>
  <si>
    <t>Total - 64100S - Bartender</t>
  </si>
  <si>
    <t>64905 - Service Charge Distribution - Beverage</t>
  </si>
  <si>
    <t>64910 - Incentive Pay - Beverage</t>
  </si>
  <si>
    <t>64920 - Payroll Taxes-Beverage</t>
  </si>
  <si>
    <t>64940 - Benefits-Beverage</t>
  </si>
  <si>
    <t>64960 - Workers Compensation-Beverage</t>
  </si>
  <si>
    <t>64990 - Supplemental Pay-Beverage</t>
  </si>
  <si>
    <t>68050 - Operating Supplies - Gift Shop</t>
  </si>
  <si>
    <t>68125 - Contract Services - Parking</t>
  </si>
  <si>
    <t>68152 - License &amp; Permits - Parking</t>
  </si>
  <si>
    <t>68156 - Uniforms - Parking</t>
  </si>
  <si>
    <t>68157 - Uniform Laundry - Parking</t>
  </si>
  <si>
    <t>68220 - Operating Supplies - Parking</t>
  </si>
  <si>
    <t>72000 - Administrative and General</t>
  </si>
  <si>
    <t>72030 - Food and Beverage</t>
  </si>
  <si>
    <t>72110 - Information Systems</t>
  </si>
  <si>
    <t>72140 - Rooms</t>
  </si>
  <si>
    <t>72150 - Sales and Marketing</t>
  </si>
  <si>
    <t>72190 - Other -License Fees</t>
  </si>
  <si>
    <t>72320 - Contract Services - IT</t>
  </si>
  <si>
    <t>73000S - General Manager</t>
  </si>
  <si>
    <t>73000R - General Manager Regular Pay</t>
  </si>
  <si>
    <t>Total - 73000S - General Manager</t>
  </si>
  <si>
    <t>73400S - Human Resource Manager</t>
  </si>
  <si>
    <t>73400R - Human Resource Manager Regular Pay</t>
  </si>
  <si>
    <t>Total - 73400S - Human Resource Manager</t>
  </si>
  <si>
    <t>73500S - Accounting</t>
  </si>
  <si>
    <t>73500R - Accounting Regular Pay</t>
  </si>
  <si>
    <t>Total - 73500S - Accounting</t>
  </si>
  <si>
    <t>73920 - Payroll Taxes-A&amp;G</t>
  </si>
  <si>
    <t>73940 - Benefits-A&amp;G</t>
  </si>
  <si>
    <t>73960 - Workers Compensation-A&amp;G</t>
  </si>
  <si>
    <t>73990 - Supplemental Pay-A&amp;G</t>
  </si>
  <si>
    <t>74045 - Provision for Doubtful Accounts</t>
  </si>
  <si>
    <t>74080 - Bank Charges</t>
  </si>
  <si>
    <t>74120 - Cash O/S</t>
  </si>
  <si>
    <t>74155 - Credit Card Commissions</t>
  </si>
  <si>
    <t>74160 - Commission-Amex</t>
  </si>
  <si>
    <t>74220 - Commissions - Third Party Credit Cards</t>
  </si>
  <si>
    <t>74320 - Commissions-Visa/MC</t>
  </si>
  <si>
    <t>Total - 74155 - Credit Card Commissions</t>
  </si>
  <si>
    <t>74325 - Contract Labor - A&amp;G</t>
  </si>
  <si>
    <t>74340 - Contract Purchasing</t>
  </si>
  <si>
    <t>74350 - Dues &amp; Subscriptions - A&amp;G</t>
  </si>
  <si>
    <t>74380 - Human Resources - A&amp;G</t>
  </si>
  <si>
    <t>74420 - Donations</t>
  </si>
  <si>
    <t>74440 - Entertainment - In-House - A&amp;G</t>
  </si>
  <si>
    <t>74560 - Travel - Meals and Entertainment - A&amp;G</t>
  </si>
  <si>
    <t>74600 - Payroll Processing</t>
  </si>
  <si>
    <t>74620 - Operating Supplies - A&amp;G</t>
  </si>
  <si>
    <t>74680 - Professional Fees</t>
  </si>
  <si>
    <t>74840 - Licenses and Permits - A&amp;G</t>
  </si>
  <si>
    <t>74880 - Training Expense</t>
  </si>
  <si>
    <t>74920 - Travel - Other - A&amp;G</t>
  </si>
  <si>
    <t>75010S - Director of Sales</t>
  </si>
  <si>
    <t>75010R - Director of Sales Regular Pay</t>
  </si>
  <si>
    <t>Total - 75010S - Director of Sales</t>
  </si>
  <si>
    <t>75020S - Sales Manager</t>
  </si>
  <si>
    <t>75020R - Sales Manager Regular Pay</t>
  </si>
  <si>
    <t>Total - 75020S - Sales Manager</t>
  </si>
  <si>
    <t>75500S - Sales Admin Assistant</t>
  </si>
  <si>
    <t>75500OT - Sales Admin Assistant Overtime</t>
  </si>
  <si>
    <t>75500R - Sales Admin Assistant Regular Pay</t>
  </si>
  <si>
    <t>Total - 75500S - Sales Admin Assistant</t>
  </si>
  <si>
    <t>75920 - Payroll Taxes-Marketing</t>
  </si>
  <si>
    <t>75940 - Benefits-Marketing</t>
  </si>
  <si>
    <t>75960 - Workers Compensation-Marketing</t>
  </si>
  <si>
    <t>75990 - Supplemental Pay-Marketing</t>
  </si>
  <si>
    <t>76130 - In-House Graphics</t>
  </si>
  <si>
    <t>76140 - Outside Signage</t>
  </si>
  <si>
    <t>76220 - Advertising - Print, Radio, &amp; TV</t>
  </si>
  <si>
    <t>76240 - Printed Collateral Material</t>
  </si>
  <si>
    <t>76260 - Photography and Videography</t>
  </si>
  <si>
    <t>76320 - Contract Services Marketing</t>
  </si>
  <si>
    <t>76350 - Dues &amp; Subscriptions Marketing</t>
  </si>
  <si>
    <t>76370 - Outside Services Market Research</t>
  </si>
  <si>
    <t>76400 - Entertainment - In-House - Marketing</t>
  </si>
  <si>
    <t>76450 - Complimentary Services and Gifts - Hotel</t>
  </si>
  <si>
    <t>76500 - Promotion</t>
  </si>
  <si>
    <t>76560 - Travel - Meals and Entertainment - Marketing</t>
  </si>
  <si>
    <t>76620 - Operating Supplies - Marketing</t>
  </si>
  <si>
    <t>76700 - Franchise and Affiliation Marketing</t>
  </si>
  <si>
    <t>76710 - Franchise Loyalty Programs</t>
  </si>
  <si>
    <t>76900 - Travel - Other - Marketing</t>
  </si>
  <si>
    <t>76990 - Cluster Services - Marketing</t>
  </si>
  <si>
    <t>77000S - Maintenance Chief</t>
  </si>
  <si>
    <t>77000R - Maintenance Chief Regular Pay</t>
  </si>
  <si>
    <t>Total - 77000S - Maintenance Chief</t>
  </si>
  <si>
    <t>77100S - Maintenance Technicians</t>
  </si>
  <si>
    <t>77100OT - Maintenance Technicians Overtime</t>
  </si>
  <si>
    <t>77100R - Maintenance Technicians Regular Pay</t>
  </si>
  <si>
    <t>Total - 77100S - Maintenance Technicians</t>
  </si>
  <si>
    <t>77920 - Service Charge Distribution - Maintenance</t>
  </si>
  <si>
    <t>77940 - Payroll Taxes-Maint</t>
  </si>
  <si>
    <t>77960 - Benefits-Maint</t>
  </si>
  <si>
    <t>77980 - Workers Compensation-Maint</t>
  </si>
  <si>
    <t>78100 - Supplemental Pay-Maint</t>
  </si>
  <si>
    <t>78170 - Building Repairs</t>
  </si>
  <si>
    <t>78200 - Contract Labor - Maintenance</t>
  </si>
  <si>
    <t>78210 - Elevators and Escalators</t>
  </si>
  <si>
    <t>78230 - Electrical and Mechanical Equipment</t>
  </si>
  <si>
    <t>78265 - Kitchen Equipment</t>
  </si>
  <si>
    <t>78270 - Life Safety</t>
  </si>
  <si>
    <t>78340 - Furniture and Equipment</t>
  </si>
  <si>
    <t>78400 - Grounds &amp; Landscaping</t>
  </si>
  <si>
    <t>78410 - Heating, Ventilation, and Air Conditioning Equipme</t>
  </si>
  <si>
    <t>78460 - Light Bulbs</t>
  </si>
  <si>
    <t>78565 - Contract Services - Maintenance</t>
  </si>
  <si>
    <t>78600 - Painting and Wallcovering</t>
  </si>
  <si>
    <t>78620 - Plumbing - Maintenance</t>
  </si>
  <si>
    <t>78845 - Operating Supplies - Maintenance</t>
  </si>
  <si>
    <t>78850 - Engineering Supplies</t>
  </si>
  <si>
    <t>78955 - Travel - Other - Maintenance</t>
  </si>
  <si>
    <t>79120 - Electricity</t>
  </si>
  <si>
    <t>79160 - Gas Service</t>
  </si>
  <si>
    <t>79200 - Water and Sewer</t>
  </si>
  <si>
    <t>79350 - Waste Removal</t>
  </si>
  <si>
    <t>84300 - Contract Services - Energy</t>
  </si>
  <si>
    <t>84330 - Franchise and Affiliation Fees - Royalties</t>
  </si>
  <si>
    <t>84345 - Management Fee</t>
  </si>
  <si>
    <t>Total - Expense</t>
  </si>
  <si>
    <t>Net Ordinary Income</t>
  </si>
  <si>
    <t>Other Income and Expenses</t>
  </si>
  <si>
    <t>Other Expense</t>
  </si>
  <si>
    <t>84400 - Asset Management Fee - External</t>
  </si>
  <si>
    <t>85100 - Liability Insurance</t>
  </si>
  <si>
    <t>85150 - Insurance Building/Contents</t>
  </si>
  <si>
    <t>85200 - Real Estate Tax</t>
  </si>
  <si>
    <t>85250 - Personal Property Tax</t>
  </si>
  <si>
    <t>85275 - Business &amp; Occupation Tax</t>
  </si>
  <si>
    <t>85285 - Other Taxes and Assessments</t>
  </si>
  <si>
    <t>86000 - Interest-Primary Mortgage</t>
  </si>
  <si>
    <t>86171 - Interest-Note Payable #2</t>
  </si>
  <si>
    <t>86172 - Interest-Note Payable #3</t>
  </si>
  <si>
    <t>86701 - Other Property and Equipment</t>
  </si>
  <si>
    <t>87105 - Amortization Expense</t>
  </si>
  <si>
    <t>87110 - Depreciation Expense - Hotel</t>
  </si>
  <si>
    <t>87522 - Ownership - Legal</t>
  </si>
  <si>
    <t>87533 - Ownership - Marketing</t>
  </si>
  <si>
    <t>87700 - Ownership - Cap Ex</t>
  </si>
  <si>
    <t>Total - Other Expense</t>
  </si>
  <si>
    <t>Net Other Income</t>
  </si>
  <si>
    <t>Net Income</t>
  </si>
  <si>
    <t>NS Income balance</t>
  </si>
  <si>
    <t>Ordinar</t>
  </si>
  <si>
    <t>40025 -</t>
  </si>
  <si>
    <t>40060 -</t>
  </si>
  <si>
    <t>40075 -</t>
  </si>
  <si>
    <t>40085 -</t>
  </si>
  <si>
    <t>40210 -</t>
  </si>
  <si>
    <t>40225 -</t>
  </si>
  <si>
    <t>40310 -</t>
  </si>
  <si>
    <t>40410 -</t>
  </si>
  <si>
    <t>40460 -</t>
  </si>
  <si>
    <t>40630 -</t>
  </si>
  <si>
    <t>40950 -</t>
  </si>
  <si>
    <t>40970 -</t>
  </si>
  <si>
    <t>40975 -</t>
  </si>
  <si>
    <t>42050 -</t>
  </si>
  <si>
    <t>42100 -</t>
  </si>
  <si>
    <t>42250 -</t>
  </si>
  <si>
    <t>42251 -</t>
  </si>
  <si>
    <t>42252 -</t>
  </si>
  <si>
    <t>42253 -</t>
  </si>
  <si>
    <t>42400 -</t>
  </si>
  <si>
    <t>42950 -</t>
  </si>
  <si>
    <t>43100 -</t>
  </si>
  <si>
    <t>43200 -</t>
  </si>
  <si>
    <t>43300 -</t>
  </si>
  <si>
    <t>43330 -</t>
  </si>
  <si>
    <t>43500 -</t>
  </si>
  <si>
    <t>43750 -</t>
  </si>
  <si>
    <t>43820 -</t>
  </si>
  <si>
    <t>43825 -</t>
  </si>
  <si>
    <t>43850 -</t>
  </si>
  <si>
    <t>43900 -</t>
  </si>
  <si>
    <t>44100 -</t>
  </si>
  <si>
    <t>44200 -</t>
  </si>
  <si>
    <t>44300 -</t>
  </si>
  <si>
    <t>48108 -</t>
  </si>
  <si>
    <t>Total -</t>
  </si>
  <si>
    <t>Cost Of</t>
  </si>
  <si>
    <t>51000 -</t>
  </si>
  <si>
    <t>51920 -</t>
  </si>
  <si>
    <t>51950 -</t>
  </si>
  <si>
    <t>52100 -</t>
  </si>
  <si>
    <t>52250 -</t>
  </si>
  <si>
    <t>52251 -</t>
  </si>
  <si>
    <t>52252 -</t>
  </si>
  <si>
    <t>52253 -</t>
  </si>
  <si>
    <t>53000 -</t>
  </si>
  <si>
    <t>54100 -</t>
  </si>
  <si>
    <t>54200 -</t>
  </si>
  <si>
    <t>54300 -</t>
  </si>
  <si>
    <t>Gross P</t>
  </si>
  <si>
    <t xml:space="preserve">60000S </t>
  </si>
  <si>
    <t xml:space="preserve">60000R </t>
  </si>
  <si>
    <t xml:space="preserve">60010S </t>
  </si>
  <si>
    <t xml:space="preserve">60010R </t>
  </si>
  <si>
    <t xml:space="preserve">60020S </t>
  </si>
  <si>
    <t xml:space="preserve">60020R </t>
  </si>
  <si>
    <t xml:space="preserve">60040S </t>
  </si>
  <si>
    <t xml:space="preserve">60040R </t>
  </si>
  <si>
    <t xml:space="preserve">60050S </t>
  </si>
  <si>
    <t xml:space="preserve">60050R </t>
  </si>
  <si>
    <t xml:space="preserve">60200S </t>
  </si>
  <si>
    <t xml:space="preserve">60200R </t>
  </si>
  <si>
    <t xml:space="preserve">60300S </t>
  </si>
  <si>
    <t xml:space="preserve">60300R </t>
  </si>
  <si>
    <t xml:space="preserve">60350S </t>
  </si>
  <si>
    <t xml:space="preserve">60350R </t>
  </si>
  <si>
    <t xml:space="preserve">60390S </t>
  </si>
  <si>
    <t xml:space="preserve">60390R </t>
  </si>
  <si>
    <t xml:space="preserve">60500S </t>
  </si>
  <si>
    <t xml:space="preserve">60500R </t>
  </si>
  <si>
    <t xml:space="preserve">60650S </t>
  </si>
  <si>
    <t xml:space="preserve">60650R </t>
  </si>
  <si>
    <t>60680 -</t>
  </si>
  <si>
    <t>60700 -</t>
  </si>
  <si>
    <t>60920 -</t>
  </si>
  <si>
    <t>60940 -</t>
  </si>
  <si>
    <t>60960 -</t>
  </si>
  <si>
    <t>60990 -</t>
  </si>
  <si>
    <t>61060 -</t>
  </si>
  <si>
    <t>61165 -</t>
  </si>
  <si>
    <t>61220 -</t>
  </si>
  <si>
    <t>61260 -</t>
  </si>
  <si>
    <t>61310 -</t>
  </si>
  <si>
    <t>61340 -</t>
  </si>
  <si>
    <t>61485 -</t>
  </si>
  <si>
    <t>61500 -</t>
  </si>
  <si>
    <t>61550 -</t>
  </si>
  <si>
    <t>61600 -</t>
  </si>
  <si>
    <t>61620 -</t>
  </si>
  <si>
    <t>61710 -</t>
  </si>
  <si>
    <t>61750 -</t>
  </si>
  <si>
    <t>61950 -</t>
  </si>
  <si>
    <t>61955 -</t>
  </si>
  <si>
    <t xml:space="preserve">62000S </t>
  </si>
  <si>
    <t xml:space="preserve">62000R </t>
  </si>
  <si>
    <t xml:space="preserve">62050S </t>
  </si>
  <si>
    <t xml:space="preserve">62050R </t>
  </si>
  <si>
    <t xml:space="preserve">62110S </t>
  </si>
  <si>
    <t xml:space="preserve">62110R </t>
  </si>
  <si>
    <t xml:space="preserve">62115S </t>
  </si>
  <si>
    <t xml:space="preserve">62115R </t>
  </si>
  <si>
    <t xml:space="preserve">62230S </t>
  </si>
  <si>
    <t xml:space="preserve">62230R </t>
  </si>
  <si>
    <t xml:space="preserve">62260S </t>
  </si>
  <si>
    <t xml:space="preserve">62260R </t>
  </si>
  <si>
    <t xml:space="preserve">62300S </t>
  </si>
  <si>
    <t xml:space="preserve">62300R </t>
  </si>
  <si>
    <t xml:space="preserve">62500S </t>
  </si>
  <si>
    <t xml:space="preserve">62500R </t>
  </si>
  <si>
    <t xml:space="preserve">62600S </t>
  </si>
  <si>
    <t xml:space="preserve">62600R </t>
  </si>
  <si>
    <t>62700 -</t>
  </si>
  <si>
    <t>62920 -</t>
  </si>
  <si>
    <t>62940 -</t>
  </si>
  <si>
    <t>62960 -</t>
  </si>
  <si>
    <t>62990 -</t>
  </si>
  <si>
    <t>62999 -</t>
  </si>
  <si>
    <t>63050 -</t>
  </si>
  <si>
    <t>63060 -</t>
  </si>
  <si>
    <t>63065 -</t>
  </si>
  <si>
    <t>63090 -</t>
  </si>
  <si>
    <t>63095 -</t>
  </si>
  <si>
    <t>63100 -</t>
  </si>
  <si>
    <t>63155 -</t>
  </si>
  <si>
    <t>63160 -</t>
  </si>
  <si>
    <t>63200 -</t>
  </si>
  <si>
    <t>63340 -</t>
  </si>
  <si>
    <t>63450 -</t>
  </si>
  <si>
    <t>63460 -</t>
  </si>
  <si>
    <t>63470 -</t>
  </si>
  <si>
    <t>63500 -</t>
  </si>
  <si>
    <t>63550 -</t>
  </si>
  <si>
    <t>63610 -</t>
  </si>
  <si>
    <t>63620 -</t>
  </si>
  <si>
    <t>63640 -</t>
  </si>
  <si>
    <t>63750 -</t>
  </si>
  <si>
    <t>63880 -</t>
  </si>
  <si>
    <t>63905 -</t>
  </si>
  <si>
    <t xml:space="preserve">64100S </t>
  </si>
  <si>
    <t xml:space="preserve">64100R </t>
  </si>
  <si>
    <t>64905 -</t>
  </si>
  <si>
    <t>64910 -</t>
  </si>
  <si>
    <t>64920 -</t>
  </si>
  <si>
    <t>64940 -</t>
  </si>
  <si>
    <t>64960 -</t>
  </si>
  <si>
    <t>64990 -</t>
  </si>
  <si>
    <t>68050 -</t>
  </si>
  <si>
    <t>68125 -</t>
  </si>
  <si>
    <t>68152 -</t>
  </si>
  <si>
    <t>68156 -</t>
  </si>
  <si>
    <t>68157 -</t>
  </si>
  <si>
    <t>68220 -</t>
  </si>
  <si>
    <t>72000 -</t>
  </si>
  <si>
    <t>72030 -</t>
  </si>
  <si>
    <t>72110 -</t>
  </si>
  <si>
    <t>72140 -</t>
  </si>
  <si>
    <t>72150 -</t>
  </si>
  <si>
    <t>72190 -</t>
  </si>
  <si>
    <t>72320 -</t>
  </si>
  <si>
    <t xml:space="preserve">73000S </t>
  </si>
  <si>
    <t xml:space="preserve">73000R </t>
  </si>
  <si>
    <t xml:space="preserve">73400S </t>
  </si>
  <si>
    <t xml:space="preserve">73400R </t>
  </si>
  <si>
    <t xml:space="preserve">73500S </t>
  </si>
  <si>
    <t xml:space="preserve">73500R </t>
  </si>
  <si>
    <t>73920 -</t>
  </si>
  <si>
    <t>73940 -</t>
  </si>
  <si>
    <t>73960 -</t>
  </si>
  <si>
    <t>73990 -</t>
  </si>
  <si>
    <t>74045 -</t>
  </si>
  <si>
    <t>74080 -</t>
  </si>
  <si>
    <t>74120 -</t>
  </si>
  <si>
    <t>74155 -</t>
  </si>
  <si>
    <t>74160 -</t>
  </si>
  <si>
    <t>74220 -</t>
  </si>
  <si>
    <t>74320 -</t>
  </si>
  <si>
    <t>74325 -</t>
  </si>
  <si>
    <t>74340 -</t>
  </si>
  <si>
    <t>74350 -</t>
  </si>
  <si>
    <t>74380 -</t>
  </si>
  <si>
    <t>74420 -</t>
  </si>
  <si>
    <t>74440 -</t>
  </si>
  <si>
    <t>74560 -</t>
  </si>
  <si>
    <t>74600 -</t>
  </si>
  <si>
    <t>74620 -</t>
  </si>
  <si>
    <t>74680 -</t>
  </si>
  <si>
    <t>74840 -</t>
  </si>
  <si>
    <t>74880 -</t>
  </si>
  <si>
    <t>74920 -</t>
  </si>
  <si>
    <t xml:space="preserve">75010S </t>
  </si>
  <si>
    <t xml:space="preserve">75010R </t>
  </si>
  <si>
    <t xml:space="preserve">75020S </t>
  </si>
  <si>
    <t xml:space="preserve">75020R </t>
  </si>
  <si>
    <t xml:space="preserve">75500S </t>
  </si>
  <si>
    <t xml:space="preserve">75500R </t>
  </si>
  <si>
    <t>75920 -</t>
  </si>
  <si>
    <t>75940 -</t>
  </si>
  <si>
    <t>75960 -</t>
  </si>
  <si>
    <t>75990 -</t>
  </si>
  <si>
    <t>76130 -</t>
  </si>
  <si>
    <t>76140 -</t>
  </si>
  <si>
    <t>76220 -</t>
  </si>
  <si>
    <t>76240 -</t>
  </si>
  <si>
    <t>76260 -</t>
  </si>
  <si>
    <t>76320 -</t>
  </si>
  <si>
    <t>76350 -</t>
  </si>
  <si>
    <t>76370 -</t>
  </si>
  <si>
    <t>76400 -</t>
  </si>
  <si>
    <t>76450 -</t>
  </si>
  <si>
    <t>76500 -</t>
  </si>
  <si>
    <t>76560 -</t>
  </si>
  <si>
    <t>76620 -</t>
  </si>
  <si>
    <t>76700 -</t>
  </si>
  <si>
    <t>76710 -</t>
  </si>
  <si>
    <t>76900 -</t>
  </si>
  <si>
    <t>76990 -</t>
  </si>
  <si>
    <t xml:space="preserve">77000S </t>
  </si>
  <si>
    <t xml:space="preserve">77000R </t>
  </si>
  <si>
    <t xml:space="preserve">77100S </t>
  </si>
  <si>
    <t xml:space="preserve">77100R </t>
  </si>
  <si>
    <t>77920 -</t>
  </si>
  <si>
    <t>77940 -</t>
  </si>
  <si>
    <t>77960 -</t>
  </si>
  <si>
    <t>77980 -</t>
  </si>
  <si>
    <t>78100 -</t>
  </si>
  <si>
    <t>78170 -</t>
  </si>
  <si>
    <t>78200 -</t>
  </si>
  <si>
    <t>78210 -</t>
  </si>
  <si>
    <t>78230 -</t>
  </si>
  <si>
    <t>78265 -</t>
  </si>
  <si>
    <t>78270 -</t>
  </si>
  <si>
    <t>78340 -</t>
  </si>
  <si>
    <t>78400 -</t>
  </si>
  <si>
    <t>78410 -</t>
  </si>
  <si>
    <t>78460 -</t>
  </si>
  <si>
    <t>78565 -</t>
  </si>
  <si>
    <t>78600 -</t>
  </si>
  <si>
    <t>78620 -</t>
  </si>
  <si>
    <t>78845 -</t>
  </si>
  <si>
    <t>78850 -</t>
  </si>
  <si>
    <t>78955 -</t>
  </si>
  <si>
    <t>79120 -</t>
  </si>
  <si>
    <t>79160 -</t>
  </si>
  <si>
    <t>79200 -</t>
  </si>
  <si>
    <t>79350 -</t>
  </si>
  <si>
    <t>84300 -</t>
  </si>
  <si>
    <t>84330 -</t>
  </si>
  <si>
    <t>84345 -</t>
  </si>
  <si>
    <t>Net Ord</t>
  </si>
  <si>
    <t>Other I</t>
  </si>
  <si>
    <t>Other E</t>
  </si>
  <si>
    <t>84400 -</t>
  </si>
  <si>
    <t>85100 -</t>
  </si>
  <si>
    <t>85150 -</t>
  </si>
  <si>
    <t>85200 -</t>
  </si>
  <si>
    <t>85250 -</t>
  </si>
  <si>
    <t>85275 -</t>
  </si>
  <si>
    <t>85285 -</t>
  </si>
  <si>
    <t>86000 -</t>
  </si>
  <si>
    <t>86171 -</t>
  </si>
  <si>
    <t>86172 -</t>
  </si>
  <si>
    <t>86701 -</t>
  </si>
  <si>
    <t>87105 -</t>
  </si>
  <si>
    <t>87110 -</t>
  </si>
  <si>
    <t>87522 -</t>
  </si>
  <si>
    <t>87533 -</t>
  </si>
  <si>
    <t>87700 -</t>
  </si>
  <si>
    <t>Net Oth</t>
  </si>
  <si>
    <t>Net Inc</t>
  </si>
  <si>
    <t xml:space="preserve"> </t>
  </si>
  <si>
    <t>PTD</t>
  </si>
  <si>
    <t>Guest Services</t>
  </si>
  <si>
    <t>Management</t>
  </si>
  <si>
    <t>Front Desk</t>
  </si>
  <si>
    <t>Kitchen</t>
  </si>
  <si>
    <t>Banquet and Catering</t>
  </si>
  <si>
    <t>Service</t>
  </si>
  <si>
    <t>Restaurant and Room Service</t>
  </si>
  <si>
    <t>A&amp;G Management</t>
  </si>
  <si>
    <t>A&amp;G Non-Management</t>
  </si>
  <si>
    <t>Property Operation And Maintenance Management</t>
  </si>
  <si>
    <t>Property Operation And Maintenance Non-Management</t>
  </si>
  <si>
    <t>Sales And Marketing Management</t>
  </si>
  <si>
    <t>Sales And Marketing Non-Management</t>
  </si>
  <si>
    <t>Banquet Other Wages Regular Pay</t>
  </si>
  <si>
    <t>Hotel Name</t>
  </si>
  <si>
    <t>Income Statement Name</t>
  </si>
  <si>
    <t>GL Account #</t>
  </si>
  <si>
    <t>Payroll Register Name</t>
  </si>
  <si>
    <t>The Sound Hotel Seattle Belltown, Tapestry Collection by Hilton</t>
  </si>
  <si>
    <t>ADP Dept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</si>
</sst>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rgb="FF00B050"/>
      <name val="Arial"/>
      <family val="2"/>
    </font>
    <font>
      <sz val="8"/>
      <color theme="8"/>
      <name val="Arial"/>
      <family val="2"/>
    </font>
    <font>
      <b/>
      <sz val="8"/>
      <color theme="3" tint="0.249977111117893"/>
      <name val="Arial"/>
      <family val="2"/>
    </font>
    <font>
      <b/>
      <sz val="8"/>
      <color rgb="FF92D050"/>
      <name val="Arial"/>
      <family val="2"/>
    </font>
    <font>
      <b/>
      <sz val="8"/>
      <color rgb="FF00206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0" xfId="0" pivotButton="1"/>
    <xf numFmtId="0" fontId="2" fillId="2" borderId="0" xfId="0" applyFont="1" applyFill="1"/>
    <xf numFmtId="0" fontId="3" fillId="0" borderId="0" xfId="2"/>
    <xf numFmtId="0" fontId="6" fillId="3" borderId="0" xfId="2" applyFont="1" applyFill="1"/>
    <xf numFmtId="0" fontId="7" fillId="0" borderId="0" xfId="2" applyFont="1" applyAlignment="1">
      <alignment vertical="center"/>
    </xf>
    <xf numFmtId="0" fontId="7" fillId="0" borderId="0" xfId="2" applyFont="1"/>
    <xf numFmtId="0" fontId="8" fillId="0" borderId="0" xfId="2" applyFont="1"/>
    <xf numFmtId="0" fontId="7" fillId="0" borderId="2" xfId="2" applyFont="1" applyBorder="1"/>
    <xf numFmtId="0" fontId="7" fillId="0" borderId="3" xfId="2" applyFont="1" applyBorder="1"/>
    <xf numFmtId="0" fontId="7" fillId="0" borderId="3" xfId="2" applyFont="1" applyBorder="1" applyAlignment="1">
      <alignment vertical="center"/>
    </xf>
    <xf numFmtId="43" fontId="6" fillId="3" borderId="0" xfId="1" applyFont="1" applyFill="1" applyAlignment="1">
      <alignment horizontal="right"/>
    </xf>
    <xf numFmtId="43" fontId="7" fillId="0" borderId="0" xfId="1" applyFont="1" applyAlignment="1">
      <alignment horizontal="right" vertical="center"/>
    </xf>
    <xf numFmtId="43" fontId="8" fillId="0" borderId="0" xfId="1" applyFont="1" applyAlignment="1">
      <alignment horizontal="right" vertical="center"/>
    </xf>
    <xf numFmtId="43" fontId="7" fillId="0" borderId="2" xfId="1" applyFont="1" applyBorder="1" applyAlignment="1">
      <alignment horizontal="right" vertical="center"/>
    </xf>
    <xf numFmtId="43" fontId="7" fillId="0" borderId="3" xfId="1" applyFont="1" applyBorder="1" applyAlignment="1">
      <alignment horizontal="right" vertical="center"/>
    </xf>
    <xf numFmtId="43" fontId="3" fillId="0" borderId="0" xfId="1" applyFont="1"/>
    <xf numFmtId="43" fontId="7" fillId="4" borderId="2" xfId="1" applyFont="1" applyFill="1" applyBorder="1" applyAlignment="1">
      <alignment horizontal="right" vertical="center"/>
    </xf>
    <xf numFmtId="4" fontId="3" fillId="0" borderId="0" xfId="2" applyNumberFormat="1"/>
    <xf numFmtId="43" fontId="8" fillId="0" borderId="0" xfId="1" applyFont="1" applyFill="1" applyAlignment="1">
      <alignment horizontal="right" vertical="center"/>
    </xf>
    <xf numFmtId="43" fontId="7" fillId="0" borderId="2" xfId="1" applyFont="1" applyFill="1" applyBorder="1" applyAlignment="1">
      <alignment horizontal="right" vertical="center"/>
    </xf>
    <xf numFmtId="43" fontId="7" fillId="0" borderId="0" xfId="1" applyFont="1" applyFill="1" applyAlignment="1">
      <alignment horizontal="right" vertical="center"/>
    </xf>
    <xf numFmtId="43" fontId="7" fillId="5" borderId="2" xfId="1" applyFont="1" applyFill="1" applyBorder="1" applyAlignment="1">
      <alignment horizontal="right" vertical="center"/>
    </xf>
    <xf numFmtId="43" fontId="7" fillId="6" borderId="2" xfId="1" applyFont="1" applyFill="1" applyBorder="1" applyAlignment="1">
      <alignment horizontal="right" vertical="center"/>
    </xf>
    <xf numFmtId="43" fontId="7" fillId="7" borderId="2" xfId="1" applyFont="1" applyFill="1" applyBorder="1" applyAlignment="1">
      <alignment horizontal="right" vertical="center"/>
    </xf>
    <xf numFmtId="43" fontId="7" fillId="8" borderId="2" xfId="1" applyFont="1" applyFill="1" applyBorder="1" applyAlignment="1">
      <alignment horizontal="right" vertical="center"/>
    </xf>
    <xf numFmtId="43" fontId="8" fillId="9" borderId="0" xfId="1" applyFont="1" applyFill="1" applyAlignment="1">
      <alignment horizontal="right" vertical="center"/>
    </xf>
    <xf numFmtId="43" fontId="8" fillId="10" borderId="0" xfId="1" applyFont="1" applyFill="1" applyAlignment="1">
      <alignment horizontal="right" vertical="center"/>
    </xf>
    <xf numFmtId="43" fontId="8" fillId="11" borderId="0" xfId="1" applyFont="1" applyFill="1" applyAlignment="1">
      <alignment horizontal="right" vertical="center"/>
    </xf>
    <xf numFmtId="43" fontId="7" fillId="12" borderId="2" xfId="1" applyFont="1" applyFill="1" applyBorder="1" applyAlignment="1">
      <alignment horizontal="right" vertical="center"/>
    </xf>
    <xf numFmtId="43" fontId="9" fillId="0" borderId="2" xfId="1" applyFont="1" applyBorder="1" applyAlignment="1">
      <alignment horizontal="right" vertical="center"/>
    </xf>
    <xf numFmtId="43" fontId="10" fillId="0" borderId="0" xfId="1" applyFont="1" applyAlignment="1">
      <alignment horizontal="right" vertical="center"/>
    </xf>
    <xf numFmtId="43" fontId="11" fillId="0" borderId="0" xfId="1" applyFont="1" applyAlignment="1">
      <alignment horizontal="right" vertical="center"/>
    </xf>
    <xf numFmtId="43" fontId="12" fillId="0" borderId="2" xfId="1" applyFont="1" applyBorder="1" applyAlignment="1">
      <alignment horizontal="right" vertical="center"/>
    </xf>
    <xf numFmtId="43" fontId="13" fillId="0" borderId="2" xfId="1" applyFont="1" applyBorder="1" applyAlignment="1">
      <alignment horizontal="right" vertical="center"/>
    </xf>
    <xf numFmtId="43" fontId="14" fillId="0" borderId="2" xfId="1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13" borderId="4" xfId="0" applyFill="1" applyBorder="1"/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Normal 2" xfId="2" xr:uid="{5376FA36-429D-4265-81DC-0048E9CB7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ulmuruganv\AppData\Local\Microsoft\Windows\INetCache\Content.Outlook\0JL0NTB9\ADP%20Master%20Mapping%20Working.xlsx" TargetMode="External"/><Relationship Id="rId1" Type="http://schemas.openxmlformats.org/officeDocument/2006/relationships/externalLinkPath" Target="file:///C:\Users\arulmuruganv\AppData\Local\Microsoft\Windows\INetCache\Content.Outlook\0JL0NTB9\ADP%20Master%20Mapping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"/>
    </sheetNames>
    <sheetDataSet>
      <sheetData sheetId="0">
        <row r="1">
          <cell r="A1" t="str">
            <v>NS Account</v>
          </cell>
          <cell r="B1" t="str">
            <v>GL Account</v>
          </cell>
          <cell r="C1" t="str">
            <v>F&amp;B Outlet</v>
          </cell>
          <cell r="D1" t="str">
            <v>ADP Dept</v>
          </cell>
          <cell r="E1" t="str">
            <v>Department Title</v>
          </cell>
          <cell r="F1" t="str">
            <v>Division (Just for reference)</v>
          </cell>
          <cell r="G1" t="str">
            <v>NS Account Name</v>
          </cell>
        </row>
        <row r="2">
          <cell r="A2" t="str">
            <v>60000R</v>
          </cell>
          <cell r="B2">
            <v>60000</v>
          </cell>
          <cell r="D2">
            <v>600000</v>
          </cell>
          <cell r="E2" t="str">
            <v>Night Audit</v>
          </cell>
          <cell r="F2" t="str">
            <v>Rooms - Front Desk</v>
          </cell>
          <cell r="G2" t="str">
            <v>Night Auditor Regular Pay</v>
          </cell>
        </row>
        <row r="3">
          <cell r="A3" t="str">
            <v>60000OT</v>
          </cell>
          <cell r="B3">
            <v>60000</v>
          </cell>
          <cell r="D3">
            <v>600000</v>
          </cell>
          <cell r="E3" t="str">
            <v>Night Audit</v>
          </cell>
          <cell r="F3" t="str">
            <v>Rooms - Front Desk</v>
          </cell>
          <cell r="G3" t="str">
            <v>Night Auditor Overtime</v>
          </cell>
        </row>
        <row r="4">
          <cell r="A4" t="str">
            <v>60000R</v>
          </cell>
          <cell r="B4">
            <v>60000</v>
          </cell>
          <cell r="D4">
            <v>600001</v>
          </cell>
          <cell r="E4" t="str">
            <v>Night Audit Supervisor</v>
          </cell>
          <cell r="F4" t="str">
            <v>Rooms - Front Desk</v>
          </cell>
          <cell r="G4" t="str">
            <v>Night Auditor Regular Pay</v>
          </cell>
        </row>
        <row r="5">
          <cell r="A5" t="str">
            <v>60000OT</v>
          </cell>
          <cell r="B5">
            <v>60000</v>
          </cell>
          <cell r="D5">
            <v>600001</v>
          </cell>
          <cell r="E5" t="str">
            <v>Night Audit Supervisor</v>
          </cell>
          <cell r="F5" t="str">
            <v>Rooms - Front Desk</v>
          </cell>
          <cell r="G5" t="str">
            <v>Night Auditor Overtime</v>
          </cell>
        </row>
        <row r="6">
          <cell r="A6" t="str">
            <v>60010R</v>
          </cell>
          <cell r="B6">
            <v>60010</v>
          </cell>
          <cell r="D6">
            <v>600100</v>
          </cell>
          <cell r="E6" t="str">
            <v>Guest Service Management</v>
          </cell>
          <cell r="F6" t="str">
            <v>Rooms - Front Desk</v>
          </cell>
          <cell r="G6" t="str">
            <v>Guest Service Manager Regular Pay</v>
          </cell>
        </row>
        <row r="7">
          <cell r="A7" t="str">
            <v>60010OT</v>
          </cell>
          <cell r="B7">
            <v>60010</v>
          </cell>
          <cell r="D7">
            <v>600100</v>
          </cell>
          <cell r="E7" t="str">
            <v>Guest Service Management</v>
          </cell>
          <cell r="F7" t="str">
            <v>Rooms - Front Desk</v>
          </cell>
          <cell r="G7" t="str">
            <v>Guest Service Manager Overtime</v>
          </cell>
        </row>
        <row r="8">
          <cell r="A8" t="str">
            <v>60015R</v>
          </cell>
          <cell r="B8">
            <v>60015</v>
          </cell>
          <cell r="D8">
            <v>600150</v>
          </cell>
          <cell r="E8" t="str">
            <v>Asst. Guest Service Management</v>
          </cell>
          <cell r="F8" t="str">
            <v>Rooms - Front Desk</v>
          </cell>
          <cell r="G8" t="str">
            <v>Asst. Guest Service Manager Regular Pay</v>
          </cell>
        </row>
        <row r="9">
          <cell r="A9" t="str">
            <v>60015OT</v>
          </cell>
          <cell r="B9">
            <v>60015</v>
          </cell>
          <cell r="D9">
            <v>600150</v>
          </cell>
          <cell r="E9" t="str">
            <v>Asst. Guest Service Management</v>
          </cell>
          <cell r="F9" t="str">
            <v>Rooms - Front Desk</v>
          </cell>
          <cell r="G9" t="str">
            <v>Asst. Guest Service Manager Overtime</v>
          </cell>
        </row>
        <row r="10">
          <cell r="A10" t="str">
            <v>60020R</v>
          </cell>
          <cell r="B10">
            <v>60020</v>
          </cell>
          <cell r="D10">
            <v>600200</v>
          </cell>
          <cell r="E10" t="str">
            <v>Rooms Division Manager</v>
          </cell>
          <cell r="F10" t="str">
            <v>Rooms - Front Desk</v>
          </cell>
          <cell r="G10" t="str">
            <v>Rooms Division Manager Regular Pay</v>
          </cell>
        </row>
        <row r="11">
          <cell r="A11" t="str">
            <v>60020OT</v>
          </cell>
          <cell r="B11">
            <v>60020</v>
          </cell>
          <cell r="D11">
            <v>600200</v>
          </cell>
          <cell r="E11" t="str">
            <v>Rooms Division Manager</v>
          </cell>
          <cell r="F11" t="str">
            <v>Rooms - Front Desk</v>
          </cell>
          <cell r="G11" t="str">
            <v>Rooms Division Manager Overtime</v>
          </cell>
        </row>
        <row r="12">
          <cell r="A12" t="str">
            <v>60030R</v>
          </cell>
          <cell r="B12">
            <v>60030</v>
          </cell>
          <cell r="D12">
            <v>600300</v>
          </cell>
          <cell r="E12" t="str">
            <v>Asst. General Manager - RMS</v>
          </cell>
          <cell r="F12" t="str">
            <v>Rooms</v>
          </cell>
          <cell r="G12" t="str">
            <v>AGM - Rooms Regular Pay</v>
          </cell>
        </row>
        <row r="13">
          <cell r="A13" t="str">
            <v>60030OT</v>
          </cell>
          <cell r="B13">
            <v>60030</v>
          </cell>
          <cell r="D13">
            <v>600300</v>
          </cell>
          <cell r="E13" t="str">
            <v>Asst. General Manager - RMS</v>
          </cell>
          <cell r="F13" t="str">
            <v>Rooms</v>
          </cell>
          <cell r="G13" t="str">
            <v>AGM - Rooms Overtime</v>
          </cell>
        </row>
        <row r="14">
          <cell r="A14" t="str">
            <v>60040R</v>
          </cell>
          <cell r="B14">
            <v>60040</v>
          </cell>
          <cell r="D14">
            <v>600400</v>
          </cell>
          <cell r="E14" t="str">
            <v>Guest Service Supervisor</v>
          </cell>
          <cell r="F14" t="str">
            <v>Rooms - Front Desk</v>
          </cell>
          <cell r="G14" t="str">
            <v>Guest Service Supervisor Regular Pay</v>
          </cell>
        </row>
        <row r="15">
          <cell r="A15" t="str">
            <v>60040OT</v>
          </cell>
          <cell r="B15">
            <v>60040</v>
          </cell>
          <cell r="D15">
            <v>600400</v>
          </cell>
          <cell r="E15" t="str">
            <v>Guest Service Supervisor</v>
          </cell>
          <cell r="F15" t="str">
            <v>Rooms - Front Desk</v>
          </cell>
          <cell r="G15" t="str">
            <v>Guest Service Supervisor Overtime</v>
          </cell>
        </row>
        <row r="16">
          <cell r="A16" t="str">
            <v>60050R</v>
          </cell>
          <cell r="B16">
            <v>60050</v>
          </cell>
          <cell r="D16">
            <v>600500</v>
          </cell>
          <cell r="E16" t="str">
            <v>Guest Service Representatives</v>
          </cell>
          <cell r="F16" t="str">
            <v>Rooms - Front Desk</v>
          </cell>
          <cell r="G16" t="str">
            <v>Guest Service Representatives Regular Pay</v>
          </cell>
        </row>
        <row r="17">
          <cell r="A17" t="str">
            <v>60050OT</v>
          </cell>
          <cell r="B17">
            <v>60050</v>
          </cell>
          <cell r="D17">
            <v>600500</v>
          </cell>
          <cell r="E17" t="str">
            <v>Guest Service Representatives</v>
          </cell>
          <cell r="F17" t="str">
            <v>Rooms - Front Desk</v>
          </cell>
          <cell r="G17" t="str">
            <v>Guest Service Representatives Overtime</v>
          </cell>
        </row>
        <row r="18">
          <cell r="A18" t="str">
            <v>60050R</v>
          </cell>
          <cell r="B18">
            <v>60050</v>
          </cell>
          <cell r="D18">
            <v>600501</v>
          </cell>
          <cell r="E18" t="str">
            <v>Night Guest Service Rep</v>
          </cell>
          <cell r="F18" t="str">
            <v>Rooms - Front Desk</v>
          </cell>
          <cell r="G18" t="str">
            <v>Guest Service Representatives Regular Pay</v>
          </cell>
        </row>
        <row r="19">
          <cell r="A19" t="str">
            <v>60050OT</v>
          </cell>
          <cell r="B19">
            <v>60050</v>
          </cell>
          <cell r="D19">
            <v>600501</v>
          </cell>
          <cell r="E19" t="str">
            <v>Night Guest Service Rep</v>
          </cell>
          <cell r="F19" t="str">
            <v>Rooms - Front Desk</v>
          </cell>
          <cell r="G19" t="str">
            <v>Guest Service Representatives Overtime</v>
          </cell>
        </row>
        <row r="20">
          <cell r="A20" t="str">
            <v>60050R</v>
          </cell>
          <cell r="B20">
            <v>60050</v>
          </cell>
          <cell r="D20">
            <v>600510</v>
          </cell>
          <cell r="E20" t="str">
            <v>Group Rooms Coordinator</v>
          </cell>
          <cell r="F20" t="str">
            <v>Rooms - Front Desk</v>
          </cell>
          <cell r="G20" t="str">
            <v>Guest Service Representatives Regular Pay</v>
          </cell>
        </row>
        <row r="21">
          <cell r="A21" t="str">
            <v>60050OT</v>
          </cell>
          <cell r="B21">
            <v>60050</v>
          </cell>
          <cell r="D21">
            <v>600510</v>
          </cell>
          <cell r="E21" t="str">
            <v>Group Rooms Coordinator</v>
          </cell>
          <cell r="F21" t="str">
            <v>Rooms - Front Desk</v>
          </cell>
          <cell r="G21" t="str">
            <v>Guest Service Representatives Overtime</v>
          </cell>
        </row>
        <row r="22">
          <cell r="A22" t="str">
            <v>60100R</v>
          </cell>
          <cell r="B22">
            <v>60100</v>
          </cell>
          <cell r="D22">
            <v>601000</v>
          </cell>
          <cell r="E22" t="str">
            <v>Reservations</v>
          </cell>
          <cell r="F22" t="str">
            <v>Rooms - Front Desk</v>
          </cell>
          <cell r="G22" t="str">
            <v>Reservations Regular Pay</v>
          </cell>
        </row>
        <row r="23">
          <cell r="A23" t="str">
            <v>60100OT</v>
          </cell>
          <cell r="B23">
            <v>60100</v>
          </cell>
          <cell r="D23">
            <v>601000</v>
          </cell>
          <cell r="E23" t="str">
            <v>Reservations</v>
          </cell>
          <cell r="F23" t="str">
            <v>Rooms - Front Desk</v>
          </cell>
          <cell r="G23" t="str">
            <v>Reservations Overtime</v>
          </cell>
        </row>
        <row r="24">
          <cell r="A24" t="str">
            <v>60120R</v>
          </cell>
          <cell r="B24">
            <v>60120</v>
          </cell>
          <cell r="D24">
            <v>601200</v>
          </cell>
          <cell r="E24" t="str">
            <v>Front Office Manager</v>
          </cell>
          <cell r="F24" t="str">
            <v>Rooms - Front Desk</v>
          </cell>
          <cell r="G24" t="str">
            <v>Front Office Manager Regular Pay</v>
          </cell>
        </row>
        <row r="25">
          <cell r="A25" t="str">
            <v>60120OT</v>
          </cell>
          <cell r="B25">
            <v>60120</v>
          </cell>
          <cell r="D25">
            <v>601200</v>
          </cell>
          <cell r="E25" t="str">
            <v>Front Office Manager</v>
          </cell>
          <cell r="F25" t="str">
            <v>Rooms - Front Desk</v>
          </cell>
          <cell r="G25" t="str">
            <v>Front Office Manager Overtime</v>
          </cell>
        </row>
        <row r="26">
          <cell r="A26" t="str">
            <v>60200R</v>
          </cell>
          <cell r="B26">
            <v>60200</v>
          </cell>
          <cell r="D26">
            <v>602000</v>
          </cell>
          <cell r="E26" t="str">
            <v>Concierge</v>
          </cell>
          <cell r="F26" t="str">
            <v>Rooms - Front Desk</v>
          </cell>
          <cell r="G26" t="str">
            <v>Concierge Regular Pay</v>
          </cell>
        </row>
        <row r="27">
          <cell r="A27" t="str">
            <v>60200OT</v>
          </cell>
          <cell r="B27">
            <v>60200</v>
          </cell>
          <cell r="D27">
            <v>602000</v>
          </cell>
          <cell r="E27" t="str">
            <v>Concierge</v>
          </cell>
          <cell r="F27" t="str">
            <v>Rooms - Front Desk</v>
          </cell>
          <cell r="G27" t="str">
            <v>Concierge Overtime</v>
          </cell>
        </row>
        <row r="28">
          <cell r="A28" t="str">
            <v>60300R</v>
          </cell>
          <cell r="B28">
            <v>60300</v>
          </cell>
          <cell r="D28">
            <v>603000</v>
          </cell>
          <cell r="E28" t="str">
            <v>Executive Housekeeper</v>
          </cell>
          <cell r="F28" t="str">
            <v>Rooms - Housekeeping</v>
          </cell>
          <cell r="G28" t="str">
            <v>Executive Housekeeper Regular Pay</v>
          </cell>
        </row>
        <row r="29">
          <cell r="A29" t="str">
            <v>60300OT</v>
          </cell>
          <cell r="B29">
            <v>60300</v>
          </cell>
          <cell r="D29">
            <v>603000</v>
          </cell>
          <cell r="E29" t="str">
            <v>Executive Housekeeper</v>
          </cell>
          <cell r="F29" t="str">
            <v>Rooms - Housekeeping</v>
          </cell>
          <cell r="G29" t="str">
            <v>Executive Housekeeper Overtime</v>
          </cell>
        </row>
        <row r="30">
          <cell r="A30" t="str">
            <v>60350R</v>
          </cell>
          <cell r="B30">
            <v>60350</v>
          </cell>
          <cell r="D30">
            <v>603500</v>
          </cell>
          <cell r="E30" t="str">
            <v>Housekeeping</v>
          </cell>
          <cell r="F30" t="str">
            <v>Rooms - Housekeeping</v>
          </cell>
          <cell r="G30" t="str">
            <v>Room Attendants Regular Pay</v>
          </cell>
        </row>
        <row r="31">
          <cell r="A31" t="str">
            <v>60350OT</v>
          </cell>
          <cell r="B31">
            <v>60350</v>
          </cell>
          <cell r="D31">
            <v>603500</v>
          </cell>
          <cell r="E31" t="str">
            <v>Housekeeping</v>
          </cell>
          <cell r="F31" t="str">
            <v>Rooms - Housekeeping</v>
          </cell>
          <cell r="G31" t="str">
            <v>Room Attendants Overtime</v>
          </cell>
        </row>
        <row r="32">
          <cell r="A32" t="str">
            <v>60350R</v>
          </cell>
          <cell r="B32">
            <v>60350</v>
          </cell>
          <cell r="D32">
            <v>603501</v>
          </cell>
          <cell r="E32" t="str">
            <v>Overnight Housekeeping</v>
          </cell>
          <cell r="F32" t="str">
            <v>Rooms - Housekeeping</v>
          </cell>
          <cell r="G32" t="str">
            <v>Room Attendants Regular Pay</v>
          </cell>
        </row>
        <row r="33">
          <cell r="A33" t="str">
            <v>60350OT</v>
          </cell>
          <cell r="B33">
            <v>60350</v>
          </cell>
          <cell r="D33">
            <v>603501</v>
          </cell>
          <cell r="E33" t="str">
            <v>Overnight Housekeeping</v>
          </cell>
          <cell r="F33" t="str">
            <v>Rooms - Housekeeping</v>
          </cell>
          <cell r="G33" t="str">
            <v>Room Attendants Overtime</v>
          </cell>
        </row>
        <row r="34">
          <cell r="A34" t="str">
            <v>60360R</v>
          </cell>
          <cell r="B34">
            <v>60360</v>
          </cell>
          <cell r="D34">
            <v>603600</v>
          </cell>
          <cell r="E34" t="str">
            <v>Turndown Attendant</v>
          </cell>
          <cell r="F34" t="str">
            <v>Rooms - Housekeeping</v>
          </cell>
          <cell r="G34" t="str">
            <v>Turn Down Attendants Regular Pay</v>
          </cell>
        </row>
        <row r="35">
          <cell r="A35" t="str">
            <v>60360OT</v>
          </cell>
          <cell r="B35">
            <v>60360</v>
          </cell>
          <cell r="D35">
            <v>603600</v>
          </cell>
          <cell r="E35" t="str">
            <v>Turndown Attendant</v>
          </cell>
          <cell r="F35" t="str">
            <v>Rooms - Housekeeping</v>
          </cell>
          <cell r="G35" t="str">
            <v>Turn Down Attendants Overtime</v>
          </cell>
        </row>
        <row r="36">
          <cell r="A36" t="str">
            <v>60380R</v>
          </cell>
          <cell r="B36">
            <v>60380</v>
          </cell>
          <cell r="D36">
            <v>603800</v>
          </cell>
          <cell r="E36" t="str">
            <v>Assistant Housekeeper</v>
          </cell>
          <cell r="F36" t="str">
            <v>Rooms - Housekeeping</v>
          </cell>
          <cell r="G36" t="str">
            <v>Assistant Housekeeper Regular Pay</v>
          </cell>
        </row>
        <row r="37">
          <cell r="A37" t="str">
            <v>60380OT</v>
          </cell>
          <cell r="B37">
            <v>60380</v>
          </cell>
          <cell r="D37">
            <v>603800</v>
          </cell>
          <cell r="E37" t="str">
            <v>Assistant Housekeeper</v>
          </cell>
          <cell r="F37" t="str">
            <v>Rooms - Housekeeping</v>
          </cell>
          <cell r="G37" t="str">
            <v>Assistant Housekeeper Overtime</v>
          </cell>
        </row>
        <row r="38">
          <cell r="A38" t="str">
            <v>60390R</v>
          </cell>
          <cell r="B38">
            <v>60390</v>
          </cell>
          <cell r="D38">
            <v>603900</v>
          </cell>
          <cell r="E38" t="str">
            <v>Housekeeping Inspector</v>
          </cell>
          <cell r="F38" t="str">
            <v>Rooms - Housekeeping</v>
          </cell>
          <cell r="G38" t="str">
            <v>Inspectors Regular Pay</v>
          </cell>
        </row>
        <row r="39">
          <cell r="A39" t="str">
            <v>60390OT</v>
          </cell>
          <cell r="B39">
            <v>60390</v>
          </cell>
          <cell r="D39">
            <v>603900</v>
          </cell>
          <cell r="E39" t="str">
            <v>Housekeeping Inspector</v>
          </cell>
          <cell r="F39" t="str">
            <v>Rooms - Housekeeping</v>
          </cell>
          <cell r="G39" t="str">
            <v>Inspectors Overtime</v>
          </cell>
        </row>
        <row r="40">
          <cell r="A40" t="str">
            <v>60390R</v>
          </cell>
          <cell r="B40">
            <v>60391</v>
          </cell>
          <cell r="D40">
            <v>603910</v>
          </cell>
          <cell r="E40" t="str">
            <v>Housekeeping Supervisor</v>
          </cell>
          <cell r="F40" t="str">
            <v>Rooms - Housekeeping</v>
          </cell>
          <cell r="G40" t="str">
            <v>Inspectors Regular Pay</v>
          </cell>
        </row>
        <row r="41">
          <cell r="A41" t="str">
            <v>60390OT</v>
          </cell>
          <cell r="B41">
            <v>60391</v>
          </cell>
          <cell r="D41">
            <v>603910</v>
          </cell>
          <cell r="E41" t="str">
            <v>Housekeeping Supervisor</v>
          </cell>
          <cell r="F41" t="str">
            <v>Rooms - Housekeeping</v>
          </cell>
          <cell r="G41" t="str">
            <v>Inspectors Overtime</v>
          </cell>
        </row>
        <row r="42">
          <cell r="A42" t="str">
            <v>60400R</v>
          </cell>
          <cell r="B42">
            <v>60400</v>
          </cell>
          <cell r="D42">
            <v>604000</v>
          </cell>
          <cell r="E42" t="str">
            <v>Breakfast</v>
          </cell>
          <cell r="F42" t="str">
            <v>Rooms - Hospitality</v>
          </cell>
          <cell r="G42" t="str">
            <v>Breakfast Hostess Regular Pay</v>
          </cell>
        </row>
        <row r="43">
          <cell r="A43" t="str">
            <v>60400OT</v>
          </cell>
          <cell r="B43">
            <v>60400</v>
          </cell>
          <cell r="D43">
            <v>604000</v>
          </cell>
          <cell r="E43" t="str">
            <v>Breakfast</v>
          </cell>
          <cell r="F43" t="str">
            <v>Rooms - Hospitality</v>
          </cell>
          <cell r="G43" t="str">
            <v>Breakfast Hostess Overtime</v>
          </cell>
        </row>
        <row r="44">
          <cell r="A44" t="str">
            <v>60500R</v>
          </cell>
          <cell r="B44">
            <v>60500</v>
          </cell>
          <cell r="D44">
            <v>605000</v>
          </cell>
          <cell r="E44" t="str">
            <v>Laundry</v>
          </cell>
          <cell r="F44" t="str">
            <v>Rooms - Housekeeping</v>
          </cell>
          <cell r="G44" t="str">
            <v>Laundry Persons Regular Pay</v>
          </cell>
        </row>
        <row r="45">
          <cell r="A45" t="str">
            <v>60500OT</v>
          </cell>
          <cell r="B45">
            <v>60500</v>
          </cell>
          <cell r="D45">
            <v>605000</v>
          </cell>
          <cell r="E45" t="str">
            <v>Laundry</v>
          </cell>
          <cell r="F45" t="str">
            <v>Rooms - Housekeeping</v>
          </cell>
          <cell r="G45" t="str">
            <v>Laundry Persons Overtime</v>
          </cell>
        </row>
        <row r="46">
          <cell r="A46" t="str">
            <v>60500R</v>
          </cell>
          <cell r="B46">
            <v>60500</v>
          </cell>
          <cell r="D46">
            <v>605001</v>
          </cell>
          <cell r="E46" t="str">
            <v>Overnight Laundry</v>
          </cell>
          <cell r="F46" t="str">
            <v>Rooms - Housekeeping</v>
          </cell>
          <cell r="G46" t="str">
            <v>Laundry Persons Regular Pay</v>
          </cell>
        </row>
        <row r="47">
          <cell r="A47" t="str">
            <v>60500OT</v>
          </cell>
          <cell r="B47">
            <v>60500</v>
          </cell>
          <cell r="D47">
            <v>605001</v>
          </cell>
          <cell r="E47" t="str">
            <v>Overnight Laundry</v>
          </cell>
          <cell r="F47" t="str">
            <v>Rooms - Housekeeping</v>
          </cell>
          <cell r="G47" t="str">
            <v>Laundry Persons Overtime</v>
          </cell>
        </row>
        <row r="48">
          <cell r="A48" t="str">
            <v>60635R</v>
          </cell>
          <cell r="B48">
            <v>60635</v>
          </cell>
          <cell r="D48">
            <v>606350</v>
          </cell>
          <cell r="E48" t="str">
            <v>Public Space</v>
          </cell>
          <cell r="F48" t="str">
            <v>Rooms - Housekeeping</v>
          </cell>
          <cell r="G48" t="str">
            <v>Rms-Public Area Regular Pay</v>
          </cell>
        </row>
        <row r="49">
          <cell r="A49" t="str">
            <v>60635OT</v>
          </cell>
          <cell r="B49">
            <v>60635</v>
          </cell>
          <cell r="D49">
            <v>606350</v>
          </cell>
          <cell r="E49" t="str">
            <v>Public Space</v>
          </cell>
          <cell r="F49" t="str">
            <v>Rooms - Housekeeping</v>
          </cell>
          <cell r="G49" t="str">
            <v>Rms-Public Area Overtime</v>
          </cell>
        </row>
        <row r="50">
          <cell r="A50" t="str">
            <v>60640R</v>
          </cell>
          <cell r="B50">
            <v>60640</v>
          </cell>
          <cell r="D50">
            <v>606400</v>
          </cell>
          <cell r="E50" t="str">
            <v>Bell</v>
          </cell>
          <cell r="F50" t="str">
            <v>Rooms - Front Desk</v>
          </cell>
          <cell r="G50" t="str">
            <v>Bell Persons Regular Pay</v>
          </cell>
        </row>
        <row r="51">
          <cell r="A51" t="str">
            <v>60640OT</v>
          </cell>
          <cell r="B51">
            <v>60640</v>
          </cell>
          <cell r="D51">
            <v>606400</v>
          </cell>
          <cell r="E51" t="str">
            <v>Bell</v>
          </cell>
          <cell r="F51" t="str">
            <v>Rooms - Front Desk</v>
          </cell>
          <cell r="G51" t="str">
            <v>Bell Persons Overtime</v>
          </cell>
        </row>
        <row r="52">
          <cell r="A52" t="str">
            <v>60650R</v>
          </cell>
          <cell r="B52">
            <v>60650</v>
          </cell>
          <cell r="D52">
            <v>606500</v>
          </cell>
          <cell r="E52" t="str">
            <v>House Person</v>
          </cell>
          <cell r="F52" t="str">
            <v>Rooms - Housekeeping</v>
          </cell>
          <cell r="G52" t="str">
            <v>House Persons Regular Pay</v>
          </cell>
        </row>
        <row r="53">
          <cell r="A53" t="str">
            <v>60650OT</v>
          </cell>
          <cell r="B53">
            <v>60650</v>
          </cell>
          <cell r="D53">
            <v>606500</v>
          </cell>
          <cell r="E53" t="str">
            <v>House Person</v>
          </cell>
          <cell r="F53" t="str">
            <v>Rooms - Housekeeping</v>
          </cell>
          <cell r="G53" t="str">
            <v>House Persons Overtime</v>
          </cell>
        </row>
        <row r="54">
          <cell r="A54" t="str">
            <v>60650R</v>
          </cell>
          <cell r="B54">
            <v>60650</v>
          </cell>
          <cell r="D54">
            <v>606510</v>
          </cell>
          <cell r="E54" t="str">
            <v>House Person Overnight rate</v>
          </cell>
          <cell r="F54" t="str">
            <v>Rooms - Housekeeping</v>
          </cell>
          <cell r="G54" t="str">
            <v>House Persons Regular Pay</v>
          </cell>
        </row>
        <row r="55">
          <cell r="A55" t="str">
            <v>60650OT</v>
          </cell>
          <cell r="B55">
            <v>60650</v>
          </cell>
          <cell r="D55">
            <v>606510</v>
          </cell>
          <cell r="E55" t="str">
            <v>House Person Overnight rate</v>
          </cell>
          <cell r="F55" t="str">
            <v>Rooms - Housekeeping</v>
          </cell>
          <cell r="G55" t="str">
            <v>House Persons Overtime</v>
          </cell>
        </row>
        <row r="56">
          <cell r="A56" t="str">
            <v>60655R</v>
          </cell>
          <cell r="B56">
            <v>60655</v>
          </cell>
          <cell r="D56">
            <v>606550</v>
          </cell>
          <cell r="E56" t="str">
            <v>Overnight Houseperson</v>
          </cell>
          <cell r="F56" t="str">
            <v>Rooms - Housekeeping</v>
          </cell>
          <cell r="G56" t="str">
            <v>Night Cleaners Regular Pay</v>
          </cell>
        </row>
        <row r="57">
          <cell r="A57" t="str">
            <v>60655OT</v>
          </cell>
          <cell r="B57">
            <v>60655</v>
          </cell>
          <cell r="D57">
            <v>606550</v>
          </cell>
          <cell r="E57" t="str">
            <v>Overnight Houseperson</v>
          </cell>
          <cell r="F57" t="str">
            <v>Rooms - Housekeeping</v>
          </cell>
          <cell r="G57" t="str">
            <v>Night Cleaners Overtime</v>
          </cell>
        </row>
        <row r="58">
          <cell r="A58" t="str">
            <v>60660R</v>
          </cell>
          <cell r="B58">
            <v>60660</v>
          </cell>
          <cell r="D58">
            <v>606600</v>
          </cell>
          <cell r="E58" t="str">
            <v>Shuttle Driver</v>
          </cell>
          <cell r="F58" t="str">
            <v>Rooms - Front Desk</v>
          </cell>
          <cell r="G58" t="str">
            <v>Van Driver Regular Pay</v>
          </cell>
        </row>
        <row r="59">
          <cell r="A59" t="str">
            <v>60660OT</v>
          </cell>
          <cell r="B59">
            <v>60660</v>
          </cell>
          <cell r="D59">
            <v>606600</v>
          </cell>
          <cell r="E59" t="str">
            <v>Shuttle Driver</v>
          </cell>
          <cell r="F59" t="str">
            <v>Rooms - Front Desk</v>
          </cell>
          <cell r="G59" t="str">
            <v>Van Driver Overtime</v>
          </cell>
        </row>
        <row r="60">
          <cell r="A60" t="str">
            <v>60660R</v>
          </cell>
          <cell r="B60">
            <v>60661</v>
          </cell>
          <cell r="D60">
            <v>606610</v>
          </cell>
          <cell r="E60" t="str">
            <v>Overnight Shuttle Driver</v>
          </cell>
          <cell r="F60" t="str">
            <v>Rooms - Front Desk</v>
          </cell>
          <cell r="G60" t="str">
            <v>Van Driver Regular Pay</v>
          </cell>
        </row>
        <row r="61">
          <cell r="A61" t="str">
            <v>60660OT</v>
          </cell>
          <cell r="B61">
            <v>60661</v>
          </cell>
          <cell r="D61">
            <v>606610</v>
          </cell>
          <cell r="E61" t="str">
            <v>Overnight Shuttle Driver</v>
          </cell>
          <cell r="F61" t="str">
            <v>Rooms - Front Desk</v>
          </cell>
          <cell r="G61" t="str">
            <v>Van Driver Overtime</v>
          </cell>
        </row>
        <row r="62">
          <cell r="A62" t="str">
            <v>60665R</v>
          </cell>
          <cell r="B62">
            <v>60665</v>
          </cell>
          <cell r="D62">
            <v>606650</v>
          </cell>
          <cell r="E62" t="str">
            <v>Valet</v>
          </cell>
          <cell r="F62" t="str">
            <v>Rooms - Front Desk</v>
          </cell>
          <cell r="G62" t="str">
            <v>Bell/Door/Drivers Regular Pay</v>
          </cell>
        </row>
        <row r="63">
          <cell r="A63" t="str">
            <v>60665OT</v>
          </cell>
          <cell r="B63">
            <v>60665</v>
          </cell>
          <cell r="D63">
            <v>606650</v>
          </cell>
          <cell r="E63" t="str">
            <v>Valet</v>
          </cell>
          <cell r="F63" t="str">
            <v>Rooms - Front Desk</v>
          </cell>
          <cell r="G63" t="str">
            <v>Bell/Door/Drivers Overtime</v>
          </cell>
        </row>
        <row r="64">
          <cell r="A64" t="str">
            <v>60665R</v>
          </cell>
          <cell r="B64">
            <v>60665</v>
          </cell>
          <cell r="D64">
            <v>606651</v>
          </cell>
          <cell r="E64" t="str">
            <v>Valet Supervisor</v>
          </cell>
          <cell r="F64" t="str">
            <v>Rooms - Front Desk</v>
          </cell>
          <cell r="G64" t="str">
            <v>Bell/Door/Drivers Regular Pay</v>
          </cell>
        </row>
        <row r="65">
          <cell r="A65" t="str">
            <v>60665OT</v>
          </cell>
          <cell r="B65">
            <v>60665</v>
          </cell>
          <cell r="D65">
            <v>606651</v>
          </cell>
          <cell r="E65" t="str">
            <v>Valet Supervisor</v>
          </cell>
          <cell r="F65" t="str">
            <v>Rooms - Front Desk</v>
          </cell>
          <cell r="G65" t="str">
            <v>Bell/Door/Drivers Overtime</v>
          </cell>
        </row>
        <row r="66">
          <cell r="A66" t="str">
            <v>60670R</v>
          </cell>
          <cell r="B66">
            <v>60670</v>
          </cell>
          <cell r="D66">
            <v>606700</v>
          </cell>
          <cell r="E66" t="str">
            <v>Rooms Training</v>
          </cell>
          <cell r="F66" t="str">
            <v>Rooms</v>
          </cell>
          <cell r="G66" t="str">
            <v>Rms-Training Payroll Regular Pay</v>
          </cell>
        </row>
        <row r="67">
          <cell r="A67" t="str">
            <v>60670OT</v>
          </cell>
          <cell r="B67">
            <v>60670</v>
          </cell>
          <cell r="D67">
            <v>606700</v>
          </cell>
          <cell r="E67" t="str">
            <v>Rooms Training</v>
          </cell>
          <cell r="F67" t="str">
            <v>Rooms</v>
          </cell>
          <cell r="G67" t="str">
            <v>Rms-Training Payroll Overtime</v>
          </cell>
        </row>
        <row r="68">
          <cell r="A68" t="str">
            <v>60675R</v>
          </cell>
          <cell r="B68">
            <v>60675</v>
          </cell>
          <cell r="D68">
            <v>606750</v>
          </cell>
          <cell r="E68" t="str">
            <v>PBX</v>
          </cell>
          <cell r="F68" t="str">
            <v>Rooms</v>
          </cell>
          <cell r="G68" t="str">
            <v>PBX Operator Regular Pay</v>
          </cell>
        </row>
        <row r="69">
          <cell r="A69" t="str">
            <v>60675OT</v>
          </cell>
          <cell r="B69">
            <v>60675</v>
          </cell>
          <cell r="D69">
            <v>606750</v>
          </cell>
          <cell r="E69" t="str">
            <v>PBX</v>
          </cell>
          <cell r="F69" t="str">
            <v>Rooms</v>
          </cell>
          <cell r="G69" t="str">
            <v>PBX Operator Overtime</v>
          </cell>
        </row>
        <row r="70">
          <cell r="A70" t="str">
            <v>62000R</v>
          </cell>
          <cell r="B70">
            <v>62000</v>
          </cell>
          <cell r="C70" t="str">
            <v>00 F&amp;B General</v>
          </cell>
          <cell r="D70">
            <v>620000</v>
          </cell>
          <cell r="E70" t="str">
            <v>F&amp;B Management</v>
          </cell>
          <cell r="F70" t="str">
            <v>Food Management</v>
          </cell>
          <cell r="G70" t="str">
            <v>Food &amp; Beverage Manager Regular Pay</v>
          </cell>
        </row>
        <row r="71">
          <cell r="A71" t="str">
            <v>62000OT</v>
          </cell>
          <cell r="B71">
            <v>62000</v>
          </cell>
          <cell r="C71" t="str">
            <v>00 F&amp;B General</v>
          </cell>
          <cell r="D71">
            <v>620000</v>
          </cell>
          <cell r="E71" t="str">
            <v>F&amp;B Management</v>
          </cell>
          <cell r="F71" t="str">
            <v>Food Management</v>
          </cell>
          <cell r="G71" t="str">
            <v>Food &amp; Beverage Manager Overtime</v>
          </cell>
        </row>
        <row r="72">
          <cell r="A72" t="str">
            <v>62000R</v>
          </cell>
          <cell r="B72">
            <v>62000</v>
          </cell>
          <cell r="C72" t="str">
            <v>01 Restaurant 1</v>
          </cell>
          <cell r="D72">
            <v>620001</v>
          </cell>
          <cell r="E72" t="str">
            <v>F&amp;B Management</v>
          </cell>
          <cell r="F72" t="str">
            <v>Food Management</v>
          </cell>
          <cell r="G72" t="str">
            <v>Food &amp; Beverage Manager Regular Pay</v>
          </cell>
        </row>
        <row r="73">
          <cell r="A73" t="str">
            <v>62000OT</v>
          </cell>
          <cell r="B73">
            <v>62000</v>
          </cell>
          <cell r="C73" t="str">
            <v>01 Restaurant 1</v>
          </cell>
          <cell r="D73">
            <v>620001</v>
          </cell>
          <cell r="E73" t="str">
            <v>F&amp;B Management</v>
          </cell>
          <cell r="F73" t="str">
            <v>Food Management</v>
          </cell>
          <cell r="G73" t="str">
            <v>Food &amp; Beverage Manager Overtime</v>
          </cell>
        </row>
        <row r="74">
          <cell r="A74" t="str">
            <v>62000R</v>
          </cell>
          <cell r="B74">
            <v>62000</v>
          </cell>
          <cell r="C74" t="str">
            <v>06 Lounge 1</v>
          </cell>
          <cell r="D74">
            <v>620002</v>
          </cell>
          <cell r="E74" t="str">
            <v>F&amp;B Management Bar</v>
          </cell>
          <cell r="F74" t="str">
            <v>Food Management</v>
          </cell>
          <cell r="G74" t="str">
            <v>Food &amp; Beverage Manager Regular Pay</v>
          </cell>
        </row>
        <row r="75">
          <cell r="A75" t="str">
            <v>62000OT</v>
          </cell>
          <cell r="B75">
            <v>62000</v>
          </cell>
          <cell r="C75" t="str">
            <v>06 Lounge 1</v>
          </cell>
          <cell r="D75">
            <v>620002</v>
          </cell>
          <cell r="E75" t="str">
            <v>F&amp;B Management Bar</v>
          </cell>
          <cell r="F75" t="str">
            <v>Food Management</v>
          </cell>
          <cell r="G75" t="str">
            <v>Food &amp; Beverage Manager Overtime</v>
          </cell>
        </row>
        <row r="76">
          <cell r="A76" t="str">
            <v>62000R</v>
          </cell>
          <cell r="B76">
            <v>62000</v>
          </cell>
          <cell r="C76" t="str">
            <v xml:space="preserve">07 Lounge 2 </v>
          </cell>
          <cell r="D76">
            <v>620003</v>
          </cell>
          <cell r="E76" t="str">
            <v>F&amp;B Management Bar</v>
          </cell>
          <cell r="F76" t="str">
            <v>Food Management</v>
          </cell>
          <cell r="G76" t="str">
            <v>Food &amp; Beverage Manager Regular Pay</v>
          </cell>
        </row>
        <row r="77">
          <cell r="A77" t="str">
            <v>62000OT</v>
          </cell>
          <cell r="B77">
            <v>62000</v>
          </cell>
          <cell r="C77" t="str">
            <v xml:space="preserve">07 Lounge 2 </v>
          </cell>
          <cell r="D77">
            <v>620003</v>
          </cell>
          <cell r="E77" t="str">
            <v>F&amp;B Management Bar</v>
          </cell>
          <cell r="F77" t="str">
            <v>Food Management</v>
          </cell>
          <cell r="G77" t="str">
            <v>Food &amp; Beverage Manager Overtime</v>
          </cell>
        </row>
        <row r="78">
          <cell r="A78" t="str">
            <v>62000R</v>
          </cell>
          <cell r="B78">
            <v>62000</v>
          </cell>
          <cell r="C78" t="str">
            <v>02 Restaurant 2</v>
          </cell>
          <cell r="D78">
            <v>620020</v>
          </cell>
          <cell r="E78" t="str">
            <v>F&amp;B Management</v>
          </cell>
          <cell r="F78" t="str">
            <v>Food Management</v>
          </cell>
          <cell r="G78" t="str">
            <v>Food &amp; Beverage Manager Regular Pay</v>
          </cell>
        </row>
        <row r="79">
          <cell r="A79" t="str">
            <v>62000OT</v>
          </cell>
          <cell r="B79">
            <v>62000</v>
          </cell>
          <cell r="C79" t="str">
            <v>02 Restaurant 2</v>
          </cell>
          <cell r="D79">
            <v>620020</v>
          </cell>
          <cell r="E79" t="str">
            <v>F&amp;B Management</v>
          </cell>
          <cell r="F79" t="str">
            <v>Food Management</v>
          </cell>
          <cell r="G79" t="str">
            <v>Food &amp; Beverage Manager Overtime</v>
          </cell>
        </row>
        <row r="80">
          <cell r="A80" t="str">
            <v>62000R</v>
          </cell>
          <cell r="B80">
            <v>62000</v>
          </cell>
          <cell r="C80" t="str">
            <v>03 Restaurant 3</v>
          </cell>
          <cell r="D80">
            <v>620030</v>
          </cell>
          <cell r="E80" t="str">
            <v>F&amp;B Management</v>
          </cell>
          <cell r="F80" t="str">
            <v>Food Management</v>
          </cell>
          <cell r="G80" t="str">
            <v>Food &amp; Beverage Manager Regular Pay</v>
          </cell>
        </row>
        <row r="81">
          <cell r="A81" t="str">
            <v>62000OT</v>
          </cell>
          <cell r="B81">
            <v>62000</v>
          </cell>
          <cell r="C81" t="str">
            <v>03 Restaurant 3</v>
          </cell>
          <cell r="D81">
            <v>620030</v>
          </cell>
          <cell r="E81" t="str">
            <v>F&amp;B Management</v>
          </cell>
          <cell r="F81" t="str">
            <v>Food Management</v>
          </cell>
          <cell r="G81" t="str">
            <v>Food &amp; Beverage Manager Overtime</v>
          </cell>
        </row>
        <row r="82">
          <cell r="A82" t="str">
            <v>62000R</v>
          </cell>
          <cell r="B82">
            <v>62000</v>
          </cell>
          <cell r="C82" t="str">
            <v>04 Restaurant 4</v>
          </cell>
          <cell r="D82">
            <v>620040</v>
          </cell>
          <cell r="E82" t="str">
            <v>F&amp;B Management</v>
          </cell>
          <cell r="F82" t="str">
            <v>Food Management</v>
          </cell>
          <cell r="G82" t="str">
            <v>Food &amp; Beverage Manager Regular Pay</v>
          </cell>
        </row>
        <row r="83">
          <cell r="A83" t="str">
            <v>62000OT</v>
          </cell>
          <cell r="B83">
            <v>62000</v>
          </cell>
          <cell r="C83" t="str">
            <v>04 Restaurant 4</v>
          </cell>
          <cell r="D83">
            <v>620040</v>
          </cell>
          <cell r="E83" t="str">
            <v>F&amp;B Management</v>
          </cell>
          <cell r="F83" t="str">
            <v>Food Management</v>
          </cell>
          <cell r="G83" t="str">
            <v>Food &amp; Beverage Manager Overtime</v>
          </cell>
        </row>
        <row r="84">
          <cell r="A84" t="str">
            <v>62000R</v>
          </cell>
          <cell r="B84">
            <v>62000</v>
          </cell>
          <cell r="C84" t="str">
            <v>05 Restaurant 5</v>
          </cell>
          <cell r="D84">
            <v>620050</v>
          </cell>
          <cell r="E84" t="str">
            <v>F&amp;B Management</v>
          </cell>
          <cell r="F84" t="str">
            <v>Food Management</v>
          </cell>
          <cell r="G84" t="str">
            <v>Food &amp; Beverage Manager Regular Pay</v>
          </cell>
        </row>
        <row r="85">
          <cell r="A85" t="str">
            <v>62000OT</v>
          </cell>
          <cell r="B85">
            <v>62000</v>
          </cell>
          <cell r="C85" t="str">
            <v>05 Restaurant 5</v>
          </cell>
          <cell r="D85">
            <v>620050</v>
          </cell>
          <cell r="E85" t="str">
            <v>F&amp;B Management</v>
          </cell>
          <cell r="F85" t="str">
            <v>Food Management</v>
          </cell>
          <cell r="G85" t="str">
            <v>Food &amp; Beverage Manager Overtime</v>
          </cell>
        </row>
        <row r="86">
          <cell r="A86" t="str">
            <v>62050R</v>
          </cell>
          <cell r="B86">
            <v>62050</v>
          </cell>
          <cell r="C86" t="str">
            <v>01 Restaurant 1</v>
          </cell>
          <cell r="D86">
            <v>620500</v>
          </cell>
          <cell r="E86" t="str">
            <v>Executive Chef</v>
          </cell>
          <cell r="F86" t="str">
            <v>Food - Kitchen</v>
          </cell>
          <cell r="G86" t="str">
            <v>Executive Chef Regular Pay</v>
          </cell>
        </row>
        <row r="87">
          <cell r="A87" t="str">
            <v>62050OT</v>
          </cell>
          <cell r="B87">
            <v>62050</v>
          </cell>
          <cell r="C87" t="str">
            <v>01 Restaurant 1</v>
          </cell>
          <cell r="D87">
            <v>620500</v>
          </cell>
          <cell r="E87" t="str">
            <v>Executive Chef</v>
          </cell>
          <cell r="F87" t="str">
            <v>Food - Kitchen</v>
          </cell>
          <cell r="G87" t="str">
            <v>Executive Chef Overtime</v>
          </cell>
        </row>
        <row r="88">
          <cell r="A88" t="str">
            <v>62050R</v>
          </cell>
          <cell r="B88">
            <v>62050</v>
          </cell>
          <cell r="C88" t="str">
            <v>00 F&amp;B General</v>
          </cell>
          <cell r="D88">
            <v>620501</v>
          </cell>
          <cell r="E88" t="str">
            <v>Executive Chef</v>
          </cell>
          <cell r="F88" t="str">
            <v>Food - Kitchen</v>
          </cell>
          <cell r="G88" t="str">
            <v>Executive Chef Regular Pay</v>
          </cell>
        </row>
        <row r="89">
          <cell r="A89" t="str">
            <v>62050OT</v>
          </cell>
          <cell r="B89">
            <v>62050</v>
          </cell>
          <cell r="C89" t="str">
            <v>00 F&amp;B General</v>
          </cell>
          <cell r="D89">
            <v>620501</v>
          </cell>
          <cell r="E89" t="str">
            <v>Executive Chef</v>
          </cell>
          <cell r="F89" t="str">
            <v>Food - Kitchen</v>
          </cell>
          <cell r="G89" t="str">
            <v>Executive Chef Overtime</v>
          </cell>
        </row>
        <row r="90">
          <cell r="A90" t="str">
            <v>62050R</v>
          </cell>
          <cell r="B90">
            <v>62050</v>
          </cell>
          <cell r="C90" t="str">
            <v>02 Restaurant 2</v>
          </cell>
          <cell r="D90">
            <v>620520</v>
          </cell>
          <cell r="E90" t="str">
            <v>Executive Chef</v>
          </cell>
          <cell r="F90" t="str">
            <v>Food - Kitchen</v>
          </cell>
          <cell r="G90" t="str">
            <v>Executive Chef Regular Pay</v>
          </cell>
        </row>
        <row r="91">
          <cell r="A91" t="str">
            <v>62050OT</v>
          </cell>
          <cell r="B91">
            <v>62050</v>
          </cell>
          <cell r="C91" t="str">
            <v>02 Restaurant 2</v>
          </cell>
          <cell r="D91">
            <v>620520</v>
          </cell>
          <cell r="E91" t="str">
            <v>Executive Chef</v>
          </cell>
          <cell r="F91" t="str">
            <v>Food - Kitchen</v>
          </cell>
          <cell r="G91" t="str">
            <v>Executive Chef Overtime</v>
          </cell>
        </row>
        <row r="92">
          <cell r="A92" t="str">
            <v>62050R</v>
          </cell>
          <cell r="B92">
            <v>62050</v>
          </cell>
          <cell r="C92" t="str">
            <v>08 Lounge 3</v>
          </cell>
          <cell r="D92">
            <v>620530</v>
          </cell>
          <cell r="E92" t="str">
            <v>Executive Chef</v>
          </cell>
          <cell r="F92" t="str">
            <v>Food - Kitchen</v>
          </cell>
          <cell r="G92" t="str">
            <v>Executive Chef Regular Pay</v>
          </cell>
        </row>
        <row r="93">
          <cell r="A93" t="str">
            <v>62050OT</v>
          </cell>
          <cell r="B93">
            <v>62050</v>
          </cell>
          <cell r="C93" t="str">
            <v>08 Lounge 3</v>
          </cell>
          <cell r="D93">
            <v>620530</v>
          </cell>
          <cell r="E93" t="str">
            <v>Executive Chef</v>
          </cell>
          <cell r="F93" t="str">
            <v>Food - Kitchen</v>
          </cell>
          <cell r="G93" t="str">
            <v>Executive Chef Overtime</v>
          </cell>
        </row>
        <row r="94">
          <cell r="A94" t="str">
            <v>62050R</v>
          </cell>
          <cell r="B94">
            <v>62050</v>
          </cell>
          <cell r="C94" t="str">
            <v>12 Lounge 4</v>
          </cell>
          <cell r="D94">
            <v>620540</v>
          </cell>
          <cell r="E94" t="str">
            <v>Executive Chef</v>
          </cell>
          <cell r="F94" t="str">
            <v>Food - Kitchen</v>
          </cell>
          <cell r="G94" t="str">
            <v>Executive Chef Regular Pay</v>
          </cell>
        </row>
        <row r="95">
          <cell r="A95" t="str">
            <v>62050OT</v>
          </cell>
          <cell r="B95">
            <v>62050</v>
          </cell>
          <cell r="C95" t="str">
            <v>12 Lounge 4</v>
          </cell>
          <cell r="D95">
            <v>620540</v>
          </cell>
          <cell r="E95" t="str">
            <v>Executive Chef</v>
          </cell>
          <cell r="F95" t="str">
            <v>Food - Kitchen</v>
          </cell>
          <cell r="G95" t="str">
            <v>Executive Chef Overtime</v>
          </cell>
        </row>
        <row r="96">
          <cell r="A96" t="str">
            <v>62050R</v>
          </cell>
          <cell r="B96">
            <v>62050</v>
          </cell>
          <cell r="C96" t="str">
            <v>13 Lounge 5</v>
          </cell>
          <cell r="D96">
            <v>620550</v>
          </cell>
          <cell r="E96" t="str">
            <v>Executive Chef</v>
          </cell>
          <cell r="F96" t="str">
            <v>Food - Kitchen</v>
          </cell>
          <cell r="G96" t="str">
            <v>Executive Chef Regular Pay</v>
          </cell>
        </row>
        <row r="97">
          <cell r="A97" t="str">
            <v>62050OT</v>
          </cell>
          <cell r="B97">
            <v>62050</v>
          </cell>
          <cell r="C97" t="str">
            <v>13 Lounge 5</v>
          </cell>
          <cell r="D97">
            <v>620550</v>
          </cell>
          <cell r="E97" t="str">
            <v>Executive Chef</v>
          </cell>
          <cell r="F97" t="str">
            <v>Food - Kitchen</v>
          </cell>
          <cell r="G97" t="str">
            <v>Executive Chef Overtime</v>
          </cell>
        </row>
        <row r="98">
          <cell r="A98" t="str">
            <v>62060R</v>
          </cell>
          <cell r="B98">
            <v>62060</v>
          </cell>
          <cell r="C98" t="str">
            <v>01 Restaurant 1</v>
          </cell>
          <cell r="D98">
            <v>620600</v>
          </cell>
          <cell r="E98" t="str">
            <v>Sous Chef</v>
          </cell>
          <cell r="F98" t="str">
            <v>Food - Kitchen</v>
          </cell>
          <cell r="G98" t="str">
            <v>Sous Chef Regular Pay</v>
          </cell>
        </row>
        <row r="99">
          <cell r="A99" t="str">
            <v>62060OT</v>
          </cell>
          <cell r="B99">
            <v>62060</v>
          </cell>
          <cell r="C99" t="str">
            <v>01 Restaurant 1</v>
          </cell>
          <cell r="D99">
            <v>620600</v>
          </cell>
          <cell r="E99" t="str">
            <v>Sous Chef</v>
          </cell>
          <cell r="F99" t="str">
            <v>Food - Kitchen</v>
          </cell>
          <cell r="G99" t="str">
            <v>Sous Chef Overtime</v>
          </cell>
        </row>
        <row r="100">
          <cell r="A100" t="str">
            <v>62060R</v>
          </cell>
          <cell r="B100">
            <v>62060</v>
          </cell>
          <cell r="C100" t="str">
            <v>00 F&amp;B General</v>
          </cell>
          <cell r="D100">
            <v>620601</v>
          </cell>
          <cell r="E100" t="str">
            <v>Sous Chef</v>
          </cell>
          <cell r="F100" t="str">
            <v>Food - Kitchen</v>
          </cell>
          <cell r="G100" t="str">
            <v>Sous Chef Regular Pay</v>
          </cell>
        </row>
        <row r="101">
          <cell r="A101" t="str">
            <v>62060OT</v>
          </cell>
          <cell r="B101">
            <v>62060</v>
          </cell>
          <cell r="C101" t="str">
            <v>00 F&amp;B General</v>
          </cell>
          <cell r="D101">
            <v>620601</v>
          </cell>
          <cell r="E101" t="str">
            <v>Sous Chef</v>
          </cell>
          <cell r="F101" t="str">
            <v>Food - Kitchen</v>
          </cell>
          <cell r="G101" t="str">
            <v>Sous Chef Overtime</v>
          </cell>
        </row>
        <row r="102">
          <cell r="A102" t="str">
            <v>62060R</v>
          </cell>
          <cell r="B102">
            <v>62060</v>
          </cell>
          <cell r="C102" t="str">
            <v>02 Restaurant 2</v>
          </cell>
          <cell r="D102">
            <v>620620</v>
          </cell>
          <cell r="E102" t="str">
            <v>Sous Chef</v>
          </cell>
          <cell r="F102" t="str">
            <v>Food - Kitchen</v>
          </cell>
          <cell r="G102" t="str">
            <v>Sous Chef Regular Pay</v>
          </cell>
        </row>
        <row r="103">
          <cell r="A103" t="str">
            <v>62060OT</v>
          </cell>
          <cell r="B103">
            <v>62060</v>
          </cell>
          <cell r="C103" t="str">
            <v>02 Restaurant 2</v>
          </cell>
          <cell r="D103">
            <v>620620</v>
          </cell>
          <cell r="E103" t="str">
            <v>Sous Chef</v>
          </cell>
          <cell r="F103" t="str">
            <v>Food - Kitchen</v>
          </cell>
          <cell r="G103" t="str">
            <v>Sous Chef Overtime</v>
          </cell>
        </row>
        <row r="104">
          <cell r="A104" t="str">
            <v>62060R</v>
          </cell>
          <cell r="B104">
            <v>62060</v>
          </cell>
          <cell r="C104" t="str">
            <v>08 Lounge 3</v>
          </cell>
          <cell r="D104">
            <v>620630</v>
          </cell>
          <cell r="E104" t="str">
            <v>Sous Chef</v>
          </cell>
          <cell r="F104" t="str">
            <v>Food - Kitchen</v>
          </cell>
          <cell r="G104" t="str">
            <v>Sous Chef Regular Pay</v>
          </cell>
        </row>
        <row r="105">
          <cell r="A105" t="str">
            <v>62060OT</v>
          </cell>
          <cell r="B105">
            <v>62060</v>
          </cell>
          <cell r="C105" t="str">
            <v>08 Lounge 3</v>
          </cell>
          <cell r="D105">
            <v>620630</v>
          </cell>
          <cell r="E105" t="str">
            <v>Sous Chef</v>
          </cell>
          <cell r="F105" t="str">
            <v>Food - Kitchen</v>
          </cell>
          <cell r="G105" t="str">
            <v>Sous Chef Overtime</v>
          </cell>
        </row>
        <row r="106">
          <cell r="A106" t="str">
            <v>62060R</v>
          </cell>
          <cell r="B106">
            <v>62060</v>
          </cell>
          <cell r="C106" t="str">
            <v>12 Lounge 4</v>
          </cell>
          <cell r="D106">
            <v>620640</v>
          </cell>
          <cell r="E106" t="str">
            <v>Sous Chef</v>
          </cell>
          <cell r="F106" t="str">
            <v>Food - Kitchen</v>
          </cell>
          <cell r="G106" t="str">
            <v>Sous Chef Regular Pay</v>
          </cell>
        </row>
        <row r="107">
          <cell r="A107" t="str">
            <v>62060OT</v>
          </cell>
          <cell r="B107">
            <v>62060</v>
          </cell>
          <cell r="C107" t="str">
            <v>12 Lounge 4</v>
          </cell>
          <cell r="D107">
            <v>620640</v>
          </cell>
          <cell r="E107" t="str">
            <v>Sous Chef</v>
          </cell>
          <cell r="F107" t="str">
            <v>Food - Kitchen</v>
          </cell>
          <cell r="G107" t="str">
            <v>Sous Chef Overtime</v>
          </cell>
        </row>
        <row r="108">
          <cell r="A108" t="str">
            <v>62060R</v>
          </cell>
          <cell r="B108">
            <v>62060</v>
          </cell>
          <cell r="C108" t="str">
            <v>13 Lounge 5</v>
          </cell>
          <cell r="D108">
            <v>620650</v>
          </cell>
          <cell r="E108" t="str">
            <v>Sous Chef</v>
          </cell>
          <cell r="F108" t="str">
            <v>Food - Kitchen</v>
          </cell>
          <cell r="G108" t="str">
            <v>Sous Chef Regular Pay</v>
          </cell>
        </row>
        <row r="109">
          <cell r="A109" t="str">
            <v>62060OT</v>
          </cell>
          <cell r="B109">
            <v>62060</v>
          </cell>
          <cell r="C109" t="str">
            <v>13 Lounge 5</v>
          </cell>
          <cell r="D109">
            <v>620650</v>
          </cell>
          <cell r="E109" t="str">
            <v>Sous Chef</v>
          </cell>
          <cell r="F109" t="str">
            <v>Food - Kitchen</v>
          </cell>
          <cell r="G109" t="str">
            <v>Sous Chef Overtime</v>
          </cell>
        </row>
        <row r="110">
          <cell r="A110" t="str">
            <v>62110R</v>
          </cell>
          <cell r="B110">
            <v>62110</v>
          </cell>
          <cell r="C110" t="str">
            <v>01 Restaurant 1</v>
          </cell>
          <cell r="D110">
            <v>621100</v>
          </cell>
          <cell r="E110" t="str">
            <v>Food Outlet Management</v>
          </cell>
          <cell r="F110" t="str">
            <v>Food Management</v>
          </cell>
          <cell r="G110" t="str">
            <v>Service Manager Regular Pay</v>
          </cell>
        </row>
        <row r="111">
          <cell r="A111" t="str">
            <v>62110OT</v>
          </cell>
          <cell r="B111">
            <v>62110</v>
          </cell>
          <cell r="C111" t="str">
            <v>01 Restaurant 1</v>
          </cell>
          <cell r="D111">
            <v>621100</v>
          </cell>
          <cell r="E111" t="str">
            <v>Food Outlet Management</v>
          </cell>
          <cell r="F111" t="str">
            <v>Food Management</v>
          </cell>
          <cell r="G111" t="str">
            <v>Service Manager Overtime</v>
          </cell>
        </row>
        <row r="112">
          <cell r="A112" t="str">
            <v>62110R</v>
          </cell>
          <cell r="B112">
            <v>62110</v>
          </cell>
          <cell r="C112" t="str">
            <v>02 Restaurant 2</v>
          </cell>
          <cell r="D112">
            <v>621102</v>
          </cell>
          <cell r="E112" t="str">
            <v>Food Outlet Management</v>
          </cell>
          <cell r="F112" t="str">
            <v>Food Management</v>
          </cell>
          <cell r="G112" t="str">
            <v>Service Manager Regular Pay</v>
          </cell>
        </row>
        <row r="113">
          <cell r="A113" t="str">
            <v>62110OT</v>
          </cell>
          <cell r="B113">
            <v>62110</v>
          </cell>
          <cell r="C113" t="str">
            <v>02 Restaurant 2</v>
          </cell>
          <cell r="D113">
            <v>621102</v>
          </cell>
          <cell r="E113" t="str">
            <v>Food Outlet Management</v>
          </cell>
          <cell r="F113" t="str">
            <v>Food Management</v>
          </cell>
          <cell r="G113" t="str">
            <v>Service Manager Overtime</v>
          </cell>
        </row>
        <row r="114">
          <cell r="A114" t="str">
            <v>62110R</v>
          </cell>
          <cell r="B114">
            <v>62110</v>
          </cell>
          <cell r="C114" t="str">
            <v>03 Restaurant 3</v>
          </cell>
          <cell r="D114">
            <v>621112</v>
          </cell>
          <cell r="E114" t="str">
            <v>Food Outlet Management</v>
          </cell>
          <cell r="F114" t="str">
            <v>Food Management</v>
          </cell>
          <cell r="G114" t="str">
            <v>Service Manager Regular Pay</v>
          </cell>
        </row>
        <row r="115">
          <cell r="A115" t="str">
            <v>62110OT</v>
          </cell>
          <cell r="B115">
            <v>62110</v>
          </cell>
          <cell r="C115" t="str">
            <v>03 Restaurant 3</v>
          </cell>
          <cell r="D115">
            <v>621112</v>
          </cell>
          <cell r="E115" t="str">
            <v>Food Outlet Management</v>
          </cell>
          <cell r="F115" t="str">
            <v>Food Management</v>
          </cell>
          <cell r="G115" t="str">
            <v>Service Manager Overtime</v>
          </cell>
        </row>
        <row r="116">
          <cell r="A116" t="str">
            <v>62110R</v>
          </cell>
          <cell r="B116">
            <v>62110</v>
          </cell>
          <cell r="C116" t="str">
            <v>04 Restaurant 4</v>
          </cell>
          <cell r="D116">
            <v>621122</v>
          </cell>
          <cell r="E116" t="str">
            <v>Food Outlet Management</v>
          </cell>
          <cell r="F116" t="str">
            <v>Food Management</v>
          </cell>
          <cell r="G116" t="str">
            <v>Service Manager Regular Pay</v>
          </cell>
        </row>
        <row r="117">
          <cell r="A117" t="str">
            <v>62110OT</v>
          </cell>
          <cell r="B117">
            <v>62110</v>
          </cell>
          <cell r="C117" t="str">
            <v>04 Restaurant 4</v>
          </cell>
          <cell r="D117">
            <v>621122</v>
          </cell>
          <cell r="E117" t="str">
            <v>Food Outlet Management</v>
          </cell>
          <cell r="F117" t="str">
            <v>Food Management</v>
          </cell>
          <cell r="G117" t="str">
            <v>Service Manager Overtime</v>
          </cell>
        </row>
        <row r="118">
          <cell r="A118" t="str">
            <v>62110R</v>
          </cell>
          <cell r="B118">
            <v>62110</v>
          </cell>
          <cell r="C118" t="str">
            <v>05 Restaurant 5</v>
          </cell>
          <cell r="D118">
            <v>621132</v>
          </cell>
          <cell r="E118" t="str">
            <v>Food Outlet Management</v>
          </cell>
          <cell r="F118" t="str">
            <v>Food Management</v>
          </cell>
          <cell r="G118" t="str">
            <v>Service Manager Regular Pay</v>
          </cell>
        </row>
        <row r="119">
          <cell r="A119" t="str">
            <v>62110OT</v>
          </cell>
          <cell r="B119">
            <v>62110</v>
          </cell>
          <cell r="C119" t="str">
            <v>05 Restaurant 5</v>
          </cell>
          <cell r="D119">
            <v>621132</v>
          </cell>
          <cell r="E119" t="str">
            <v>Food Outlet Management</v>
          </cell>
          <cell r="F119" t="str">
            <v>Food Management</v>
          </cell>
          <cell r="G119" t="str">
            <v>Service Manager Overtime</v>
          </cell>
        </row>
        <row r="120">
          <cell r="A120" t="str">
            <v>62115R</v>
          </cell>
          <cell r="B120">
            <v>62115</v>
          </cell>
          <cell r="C120" t="str">
            <v>01 Restaurant 1</v>
          </cell>
          <cell r="D120">
            <v>621150</v>
          </cell>
          <cell r="E120" t="str">
            <v>Food Outlet Asst. Management</v>
          </cell>
          <cell r="F120" t="str">
            <v>Food Management</v>
          </cell>
          <cell r="G120" t="str">
            <v>Asst. Service Manager Regular Pay</v>
          </cell>
        </row>
        <row r="121">
          <cell r="A121" t="str">
            <v>62115OT</v>
          </cell>
          <cell r="B121">
            <v>62115</v>
          </cell>
          <cell r="C121" t="str">
            <v>01 Restaurant 1</v>
          </cell>
          <cell r="D121">
            <v>621150</v>
          </cell>
          <cell r="E121" t="str">
            <v>Food Outlet Asst. Management</v>
          </cell>
          <cell r="F121" t="str">
            <v>Food Management</v>
          </cell>
          <cell r="G121" t="str">
            <v>Asst. Service Manager Overtime</v>
          </cell>
        </row>
        <row r="122">
          <cell r="A122" t="str">
            <v>62115R</v>
          </cell>
          <cell r="B122">
            <v>62115</v>
          </cell>
          <cell r="C122" t="str">
            <v>02 Restaurant 2</v>
          </cell>
          <cell r="D122">
            <v>621152</v>
          </cell>
          <cell r="E122" t="str">
            <v>Food Outlet Asst. Management</v>
          </cell>
          <cell r="F122" t="str">
            <v>Food Management</v>
          </cell>
          <cell r="G122" t="str">
            <v>Asst. Service Manager Regular Pay</v>
          </cell>
        </row>
        <row r="123">
          <cell r="A123" t="str">
            <v>62115OT</v>
          </cell>
          <cell r="B123">
            <v>62115</v>
          </cell>
          <cell r="C123" t="str">
            <v>02 Restaurant 2</v>
          </cell>
          <cell r="D123">
            <v>621152</v>
          </cell>
          <cell r="E123" t="str">
            <v>Food Outlet Asst. Management</v>
          </cell>
          <cell r="F123" t="str">
            <v>Food Management</v>
          </cell>
          <cell r="G123" t="str">
            <v>Asst. Service Manager Overtime</v>
          </cell>
        </row>
        <row r="124">
          <cell r="A124" t="str">
            <v>62115R</v>
          </cell>
          <cell r="B124">
            <v>62115</v>
          </cell>
          <cell r="C124" t="str">
            <v>08 Lounge 3</v>
          </cell>
          <cell r="D124">
            <v>621153</v>
          </cell>
          <cell r="E124" t="str">
            <v>Food Outlet Asst. Management</v>
          </cell>
          <cell r="F124" t="str">
            <v>Food Management</v>
          </cell>
          <cell r="G124" t="str">
            <v>Asst. Service Manager Regular Pay</v>
          </cell>
        </row>
        <row r="125">
          <cell r="A125" t="str">
            <v>62115OT</v>
          </cell>
          <cell r="B125">
            <v>62115</v>
          </cell>
          <cell r="C125" t="str">
            <v>08 Lounge 3</v>
          </cell>
          <cell r="D125">
            <v>621153</v>
          </cell>
          <cell r="E125" t="str">
            <v>Food Outlet Asst. Management</v>
          </cell>
          <cell r="F125" t="str">
            <v>Food Management</v>
          </cell>
          <cell r="G125" t="str">
            <v>Asst. Service Manager Overtime</v>
          </cell>
        </row>
        <row r="126">
          <cell r="A126" t="str">
            <v>62115R</v>
          </cell>
          <cell r="B126">
            <v>62115</v>
          </cell>
          <cell r="C126" t="str">
            <v>12 Lounge 4</v>
          </cell>
          <cell r="D126">
            <v>621154</v>
          </cell>
          <cell r="E126" t="str">
            <v>Food Outlet Asst. Management</v>
          </cell>
          <cell r="F126" t="str">
            <v>Food Management</v>
          </cell>
          <cell r="G126" t="str">
            <v>Asst. Service Manager Regular Pay</v>
          </cell>
        </row>
        <row r="127">
          <cell r="A127" t="str">
            <v>62115OT</v>
          </cell>
          <cell r="B127">
            <v>62115</v>
          </cell>
          <cell r="C127" t="str">
            <v>12 Lounge 4</v>
          </cell>
          <cell r="D127">
            <v>621154</v>
          </cell>
          <cell r="E127" t="str">
            <v>Food Outlet Asst. Management</v>
          </cell>
          <cell r="F127" t="str">
            <v>Food Management</v>
          </cell>
          <cell r="G127" t="str">
            <v>Asst. Service Manager Overtime</v>
          </cell>
        </row>
        <row r="128">
          <cell r="A128" t="str">
            <v>62115R</v>
          </cell>
          <cell r="B128">
            <v>62115</v>
          </cell>
          <cell r="C128" t="str">
            <v>13 Lounge 5</v>
          </cell>
          <cell r="D128">
            <v>621155</v>
          </cell>
          <cell r="E128" t="str">
            <v>Food Outlet Asst. Management</v>
          </cell>
          <cell r="F128" t="str">
            <v>Food Management</v>
          </cell>
          <cell r="G128" t="str">
            <v>Asst. Service Manager Regular Pay</v>
          </cell>
        </row>
        <row r="129">
          <cell r="A129" t="str">
            <v>62115OT</v>
          </cell>
          <cell r="B129">
            <v>62115</v>
          </cell>
          <cell r="C129" t="str">
            <v>13 Lounge 5</v>
          </cell>
          <cell r="D129">
            <v>621155</v>
          </cell>
          <cell r="E129" t="str">
            <v>Food Outlet Asst. Management</v>
          </cell>
          <cell r="F129" t="str">
            <v>Food Management</v>
          </cell>
          <cell r="G129" t="str">
            <v>Asst. Service Manager Overtime</v>
          </cell>
        </row>
        <row r="130">
          <cell r="A130" t="str">
            <v>62200R</v>
          </cell>
          <cell r="B130">
            <v>62200</v>
          </cell>
          <cell r="C130" t="str">
            <v>11 Banquets</v>
          </cell>
          <cell r="D130">
            <v>622000</v>
          </cell>
          <cell r="E130" t="str">
            <v>Banquet Manager</v>
          </cell>
          <cell r="F130" t="str">
            <v>Banquets</v>
          </cell>
          <cell r="G130" t="str">
            <v>Banquet Manager Regular Pay</v>
          </cell>
        </row>
        <row r="131">
          <cell r="A131" t="str">
            <v>62200OT</v>
          </cell>
          <cell r="B131">
            <v>62200</v>
          </cell>
          <cell r="C131" t="str">
            <v>11 Banquets</v>
          </cell>
          <cell r="D131">
            <v>622000</v>
          </cell>
          <cell r="E131" t="str">
            <v>Banquet Manager</v>
          </cell>
          <cell r="F131" t="str">
            <v>Banquets</v>
          </cell>
          <cell r="G131" t="str">
            <v>Banquet Manager Overtime</v>
          </cell>
        </row>
        <row r="132">
          <cell r="A132" t="str">
            <v>62210R</v>
          </cell>
          <cell r="B132">
            <v>62210</v>
          </cell>
          <cell r="C132" t="str">
            <v>11 Banquets</v>
          </cell>
          <cell r="D132">
            <v>622100</v>
          </cell>
          <cell r="E132" t="str">
            <v>Asst. Banquet Manager</v>
          </cell>
          <cell r="F132" t="str">
            <v>Banquets</v>
          </cell>
          <cell r="G132" t="str">
            <v>Asst. Banquet Manager Regular Pay</v>
          </cell>
        </row>
        <row r="133">
          <cell r="A133" t="str">
            <v>62210OT</v>
          </cell>
          <cell r="B133">
            <v>62210</v>
          </cell>
          <cell r="C133" t="str">
            <v>11 Banquets</v>
          </cell>
          <cell r="D133">
            <v>622100</v>
          </cell>
          <cell r="E133" t="str">
            <v>Asst. Banquet Manager</v>
          </cell>
          <cell r="F133" t="str">
            <v>Banquets</v>
          </cell>
          <cell r="G133" t="str">
            <v>Asst. Banquet Manager Overtime</v>
          </cell>
        </row>
        <row r="134">
          <cell r="A134" t="str">
            <v>62220R</v>
          </cell>
          <cell r="B134">
            <v>62220</v>
          </cell>
          <cell r="C134" t="str">
            <v>11 Banquets</v>
          </cell>
          <cell r="D134">
            <v>622200</v>
          </cell>
          <cell r="E134" t="str">
            <v>Banquet Captain</v>
          </cell>
          <cell r="F134" t="str">
            <v>Banquets</v>
          </cell>
          <cell r="G134" t="str">
            <v>Banquet Captain Regular Pay</v>
          </cell>
        </row>
        <row r="135">
          <cell r="A135" t="str">
            <v>62220OT</v>
          </cell>
          <cell r="B135">
            <v>62220</v>
          </cell>
          <cell r="C135" t="str">
            <v>11 Banquets</v>
          </cell>
          <cell r="D135">
            <v>622200</v>
          </cell>
          <cell r="E135" t="str">
            <v>Banquet Captain</v>
          </cell>
          <cell r="F135" t="str">
            <v>Banquets</v>
          </cell>
          <cell r="G135" t="str">
            <v>Banquet Captain Overtime</v>
          </cell>
        </row>
        <row r="136">
          <cell r="A136" t="str">
            <v>62260R</v>
          </cell>
          <cell r="B136">
            <v>62260</v>
          </cell>
          <cell r="C136" t="str">
            <v>11 Banquets</v>
          </cell>
          <cell r="D136">
            <v>622300</v>
          </cell>
          <cell r="E136" t="str">
            <v>Banquet Server</v>
          </cell>
          <cell r="F136" t="str">
            <v>Banquets</v>
          </cell>
          <cell r="G136" t="str">
            <v>Food Service Regular Pay</v>
          </cell>
        </row>
        <row r="137">
          <cell r="A137" t="str">
            <v>62260OT</v>
          </cell>
          <cell r="B137">
            <v>62260</v>
          </cell>
          <cell r="C137" t="str">
            <v>11 Banquets</v>
          </cell>
          <cell r="D137">
            <v>622300</v>
          </cell>
          <cell r="E137" t="str">
            <v>Banquet Server</v>
          </cell>
          <cell r="F137" t="str">
            <v>Banquets</v>
          </cell>
          <cell r="G137" t="str">
            <v>Food Service Overtime</v>
          </cell>
        </row>
        <row r="138">
          <cell r="A138" t="str">
            <v>62250R</v>
          </cell>
          <cell r="B138">
            <v>62250</v>
          </cell>
          <cell r="C138" t="str">
            <v>00 F&amp;B General</v>
          </cell>
          <cell r="D138">
            <v>622500</v>
          </cell>
          <cell r="E138" t="str">
            <v>Purchasing</v>
          </cell>
          <cell r="F138" t="str">
            <v>Food</v>
          </cell>
          <cell r="G138" t="str">
            <v>Purchasing Agent Regular Pay</v>
          </cell>
        </row>
        <row r="139">
          <cell r="A139" t="str">
            <v>62250OT</v>
          </cell>
          <cell r="B139">
            <v>62250</v>
          </cell>
          <cell r="C139" t="str">
            <v>00 F&amp;B General</v>
          </cell>
          <cell r="D139">
            <v>622500</v>
          </cell>
          <cell r="E139" t="str">
            <v>Purchasing</v>
          </cell>
          <cell r="F139" t="str">
            <v>Food</v>
          </cell>
          <cell r="G139" t="str">
            <v>Purchasing Agent Overtime</v>
          </cell>
        </row>
        <row r="140">
          <cell r="A140" t="str">
            <v>62260R</v>
          </cell>
          <cell r="B140">
            <v>62260</v>
          </cell>
          <cell r="C140" t="str">
            <v>01 Restaurant 1</v>
          </cell>
          <cell r="D140">
            <v>622600</v>
          </cell>
          <cell r="E140" t="str">
            <v>Waitstaff</v>
          </cell>
          <cell r="F140" t="str">
            <v>Food - Restaurant</v>
          </cell>
          <cell r="G140" t="str">
            <v>Food Service Regular Pay</v>
          </cell>
        </row>
        <row r="141">
          <cell r="A141" t="str">
            <v>62260OT</v>
          </cell>
          <cell r="B141">
            <v>62260</v>
          </cell>
          <cell r="C141" t="str">
            <v>01 Restaurant 1</v>
          </cell>
          <cell r="D141">
            <v>622600</v>
          </cell>
          <cell r="E141" t="str">
            <v>Waitstaff</v>
          </cell>
          <cell r="F141" t="str">
            <v>Food - Restaurant</v>
          </cell>
          <cell r="G141" t="str">
            <v>Food Service Overtime</v>
          </cell>
        </row>
        <row r="142">
          <cell r="A142" t="str">
            <v>62260R</v>
          </cell>
          <cell r="B142">
            <v>62260</v>
          </cell>
          <cell r="C142" t="str">
            <v>10 Café</v>
          </cell>
          <cell r="D142">
            <v>622601</v>
          </cell>
          <cell r="E142" t="str">
            <v xml:space="preserve">Waitstaff </v>
          </cell>
          <cell r="F142" t="str">
            <v>Food - Restaurant</v>
          </cell>
          <cell r="G142" t="str">
            <v>Food Service Regular Pay</v>
          </cell>
        </row>
        <row r="143">
          <cell r="A143" t="str">
            <v>62260OT</v>
          </cell>
          <cell r="B143">
            <v>62260</v>
          </cell>
          <cell r="C143" t="str">
            <v>10 Café</v>
          </cell>
          <cell r="D143">
            <v>622601</v>
          </cell>
          <cell r="E143" t="str">
            <v xml:space="preserve">Waitstaff </v>
          </cell>
          <cell r="F143" t="str">
            <v>Food - Restaurant</v>
          </cell>
          <cell r="G143" t="str">
            <v>Food Service Overtime</v>
          </cell>
        </row>
        <row r="144">
          <cell r="A144" t="str">
            <v>62260R</v>
          </cell>
          <cell r="B144">
            <v>62260</v>
          </cell>
          <cell r="C144" t="str">
            <v>06 Lounge 1</v>
          </cell>
          <cell r="D144">
            <v>622602</v>
          </cell>
          <cell r="E144" t="str">
            <v xml:space="preserve">Waitstaff </v>
          </cell>
          <cell r="F144" t="str">
            <v>Food - Restaurant</v>
          </cell>
          <cell r="G144" t="str">
            <v>Food Service Regular Pay</v>
          </cell>
        </row>
        <row r="145">
          <cell r="A145" t="str">
            <v>62260OT</v>
          </cell>
          <cell r="B145">
            <v>62260</v>
          </cell>
          <cell r="C145" t="str">
            <v>06 Lounge 1</v>
          </cell>
          <cell r="D145">
            <v>622602</v>
          </cell>
          <cell r="E145" t="str">
            <v xml:space="preserve">Waitstaff </v>
          </cell>
          <cell r="F145" t="str">
            <v>Food - Restaurant</v>
          </cell>
          <cell r="G145" t="str">
            <v>Food Service Overtime</v>
          </cell>
        </row>
        <row r="146">
          <cell r="A146" t="str">
            <v>62260R</v>
          </cell>
          <cell r="B146">
            <v>62260</v>
          </cell>
          <cell r="C146" t="str">
            <v xml:space="preserve">07 Lounge 2 </v>
          </cell>
          <cell r="D146">
            <v>622603</v>
          </cell>
          <cell r="E146" t="str">
            <v xml:space="preserve">Waitstaff </v>
          </cell>
          <cell r="F146" t="str">
            <v>Food - Restaurant</v>
          </cell>
          <cell r="G146" t="str">
            <v>Food Service Regular Pay</v>
          </cell>
        </row>
        <row r="147">
          <cell r="A147" t="str">
            <v>62260OT</v>
          </cell>
          <cell r="B147">
            <v>62260</v>
          </cell>
          <cell r="C147" t="str">
            <v xml:space="preserve">07 Lounge 2 </v>
          </cell>
          <cell r="D147">
            <v>622603</v>
          </cell>
          <cell r="E147" t="str">
            <v xml:space="preserve">Waitstaff </v>
          </cell>
          <cell r="F147" t="str">
            <v>Food - Restaurant</v>
          </cell>
          <cell r="G147" t="str">
            <v>Food Service Overtime</v>
          </cell>
        </row>
        <row r="148">
          <cell r="A148" t="str">
            <v>62260R</v>
          </cell>
          <cell r="B148">
            <v>62260</v>
          </cell>
          <cell r="C148" t="str">
            <v>06 Lounge 1</v>
          </cell>
          <cell r="D148">
            <v>622604</v>
          </cell>
          <cell r="E148" t="str">
            <v>Barback</v>
          </cell>
          <cell r="F148" t="str">
            <v>Food - Restaurant</v>
          </cell>
          <cell r="G148" t="str">
            <v>Food Service Regular Pay</v>
          </cell>
        </row>
        <row r="149">
          <cell r="A149" t="str">
            <v>62260OT</v>
          </cell>
          <cell r="B149">
            <v>62260</v>
          </cell>
          <cell r="C149" t="str">
            <v>06 Lounge 1</v>
          </cell>
          <cell r="D149">
            <v>622604</v>
          </cell>
          <cell r="E149" t="str">
            <v>Barback</v>
          </cell>
          <cell r="F149" t="str">
            <v>Food - Restaurant</v>
          </cell>
          <cell r="G149" t="str">
            <v>Food Service Overtime</v>
          </cell>
        </row>
        <row r="150">
          <cell r="A150" t="str">
            <v>62261R</v>
          </cell>
          <cell r="B150">
            <v>62261</v>
          </cell>
          <cell r="C150" t="str">
            <v>01 Restaurant 1</v>
          </cell>
          <cell r="D150">
            <v>622610</v>
          </cell>
          <cell r="E150" t="str">
            <v>Room Service</v>
          </cell>
          <cell r="F150" t="str">
            <v>Food Room Service</v>
          </cell>
          <cell r="G150" t="str">
            <v>Room Service Regular Pay</v>
          </cell>
        </row>
        <row r="151">
          <cell r="A151" t="str">
            <v>62261OT</v>
          </cell>
          <cell r="B151">
            <v>62261</v>
          </cell>
          <cell r="C151" t="str">
            <v>01 Restaurant 1</v>
          </cell>
          <cell r="D151">
            <v>622610</v>
          </cell>
          <cell r="E151" t="str">
            <v>Room Service</v>
          </cell>
          <cell r="F151" t="str">
            <v>Food Room Service</v>
          </cell>
          <cell r="G151" t="str">
            <v>Room Service Overtime</v>
          </cell>
        </row>
        <row r="152">
          <cell r="A152" t="str">
            <v>62261R</v>
          </cell>
          <cell r="B152">
            <v>62261</v>
          </cell>
          <cell r="C152" t="str">
            <v>01 Restaurant 1</v>
          </cell>
          <cell r="D152">
            <v>622611</v>
          </cell>
          <cell r="E152" t="str">
            <v>Overnight Room Service</v>
          </cell>
          <cell r="F152" t="str">
            <v>Food</v>
          </cell>
          <cell r="G152" t="str">
            <v>Room Service Regular Pay</v>
          </cell>
        </row>
        <row r="153">
          <cell r="A153" t="str">
            <v>62261OT</v>
          </cell>
          <cell r="B153">
            <v>62261</v>
          </cell>
          <cell r="C153" t="str">
            <v>01 Restaurant 1</v>
          </cell>
          <cell r="D153">
            <v>622611</v>
          </cell>
          <cell r="E153" t="str">
            <v>Overnight Room Service</v>
          </cell>
          <cell r="F153" t="str">
            <v>Food</v>
          </cell>
          <cell r="G153" t="str">
            <v>Room Service Overtime</v>
          </cell>
        </row>
        <row r="154">
          <cell r="A154" t="str">
            <v>62260R</v>
          </cell>
          <cell r="B154">
            <v>62260</v>
          </cell>
          <cell r="C154" t="str">
            <v>09 Room Service</v>
          </cell>
          <cell r="D154">
            <v>622612</v>
          </cell>
          <cell r="E154" t="str">
            <v>Room Service</v>
          </cell>
          <cell r="F154" t="str">
            <v>Food Room Service</v>
          </cell>
          <cell r="G154" t="str">
            <v>Food Service Regular Pay</v>
          </cell>
        </row>
        <row r="155">
          <cell r="A155" t="str">
            <v>62260OT</v>
          </cell>
          <cell r="B155">
            <v>62260</v>
          </cell>
          <cell r="C155" t="str">
            <v>09 Room Service</v>
          </cell>
          <cell r="D155">
            <v>622612</v>
          </cell>
          <cell r="E155" t="str">
            <v>Room Service</v>
          </cell>
          <cell r="F155" t="str">
            <v>Food Room Service</v>
          </cell>
          <cell r="G155" t="str">
            <v>Food Service Overtime</v>
          </cell>
        </row>
        <row r="156">
          <cell r="A156" t="str">
            <v>62260R</v>
          </cell>
          <cell r="B156">
            <v>62260</v>
          </cell>
          <cell r="C156" t="str">
            <v>09 Room Service</v>
          </cell>
          <cell r="D156">
            <v>622613</v>
          </cell>
          <cell r="E156" t="str">
            <v>Room Service Dispatcher</v>
          </cell>
          <cell r="F156" t="str">
            <v>Food Room Service</v>
          </cell>
          <cell r="G156" t="str">
            <v>Food Service Regular Pay</v>
          </cell>
        </row>
        <row r="157">
          <cell r="A157" t="str">
            <v>62260OT</v>
          </cell>
          <cell r="B157">
            <v>62260</v>
          </cell>
          <cell r="C157" t="str">
            <v>09 Room Service</v>
          </cell>
          <cell r="D157">
            <v>622613</v>
          </cell>
          <cell r="E157" t="str">
            <v>Room Service Dispatcher</v>
          </cell>
          <cell r="F157" t="str">
            <v>Food Room Service</v>
          </cell>
          <cell r="G157" t="str">
            <v>Food Service Overtime</v>
          </cell>
        </row>
        <row r="158">
          <cell r="A158" t="str">
            <v>62260R</v>
          </cell>
          <cell r="B158">
            <v>62260</v>
          </cell>
          <cell r="C158" t="str">
            <v>02 Restaurant 2</v>
          </cell>
          <cell r="D158">
            <v>622620</v>
          </cell>
          <cell r="E158" t="str">
            <v>Waitstaff</v>
          </cell>
          <cell r="F158" t="str">
            <v>Food - Restaurant</v>
          </cell>
          <cell r="G158" t="str">
            <v>Food Service Regular Pay</v>
          </cell>
        </row>
        <row r="159">
          <cell r="A159" t="str">
            <v>62260OT</v>
          </cell>
          <cell r="B159">
            <v>62260</v>
          </cell>
          <cell r="C159" t="str">
            <v>02 Restaurant 2</v>
          </cell>
          <cell r="D159">
            <v>622620</v>
          </cell>
          <cell r="E159" t="str">
            <v>Waitstaff</v>
          </cell>
          <cell r="F159" t="str">
            <v>Food - Restaurant</v>
          </cell>
          <cell r="G159" t="str">
            <v>Food Service Overtime</v>
          </cell>
        </row>
        <row r="160">
          <cell r="A160" t="str">
            <v>62260R</v>
          </cell>
          <cell r="B160">
            <v>62260</v>
          </cell>
          <cell r="C160" t="str">
            <v>03 Restaurant 3</v>
          </cell>
          <cell r="D160">
            <v>622621</v>
          </cell>
          <cell r="E160" t="str">
            <v xml:space="preserve">Waitstaff </v>
          </cell>
          <cell r="F160" t="str">
            <v>Food - Restaurant</v>
          </cell>
          <cell r="G160" t="str">
            <v>Food Service Regular Pay</v>
          </cell>
        </row>
        <row r="161">
          <cell r="A161" t="str">
            <v>62260OT</v>
          </cell>
          <cell r="B161">
            <v>62260</v>
          </cell>
          <cell r="C161" t="str">
            <v>03 Restaurant 3</v>
          </cell>
          <cell r="D161">
            <v>622621</v>
          </cell>
          <cell r="E161" t="str">
            <v xml:space="preserve">Waitstaff </v>
          </cell>
          <cell r="F161" t="str">
            <v>Food - Restaurant</v>
          </cell>
          <cell r="G161" t="str">
            <v>Food Service Overtime</v>
          </cell>
        </row>
        <row r="162">
          <cell r="A162" t="str">
            <v>62260R</v>
          </cell>
          <cell r="B162">
            <v>62260</v>
          </cell>
          <cell r="C162" t="str">
            <v>03 Restaurant 3</v>
          </cell>
          <cell r="D162">
            <v>622622</v>
          </cell>
          <cell r="E162" t="str">
            <v>Barback</v>
          </cell>
          <cell r="F162" t="str">
            <v>Food - Restaurant</v>
          </cell>
          <cell r="G162" t="str">
            <v>Food Service Regular Pay</v>
          </cell>
        </row>
        <row r="163">
          <cell r="A163" t="str">
            <v>62260OT</v>
          </cell>
          <cell r="B163">
            <v>62260</v>
          </cell>
          <cell r="C163" t="str">
            <v>03 Restaurant 3</v>
          </cell>
          <cell r="D163">
            <v>622622</v>
          </cell>
          <cell r="E163" t="str">
            <v>Barback</v>
          </cell>
          <cell r="F163" t="str">
            <v>Food - Restaurant</v>
          </cell>
          <cell r="G163" t="str">
            <v>Food Service Overtime</v>
          </cell>
        </row>
        <row r="164">
          <cell r="A164" t="str">
            <v>62260R</v>
          </cell>
          <cell r="B164">
            <v>62260</v>
          </cell>
          <cell r="C164" t="str">
            <v>08 Lounge 3</v>
          </cell>
          <cell r="D164">
            <v>622630</v>
          </cell>
          <cell r="E164" t="str">
            <v>Waitstaff</v>
          </cell>
          <cell r="F164" t="str">
            <v>Food - Restaurant</v>
          </cell>
          <cell r="G164" t="str">
            <v>Food Service Regular Pay</v>
          </cell>
        </row>
        <row r="165">
          <cell r="A165" t="str">
            <v>62260OT</v>
          </cell>
          <cell r="B165">
            <v>62260</v>
          </cell>
          <cell r="C165" t="str">
            <v>08 Lounge 3</v>
          </cell>
          <cell r="D165">
            <v>622630</v>
          </cell>
          <cell r="E165" t="str">
            <v>Waitstaff</v>
          </cell>
          <cell r="F165" t="str">
            <v>Food - Restaurant</v>
          </cell>
          <cell r="G165" t="str">
            <v>Food Service Overtime</v>
          </cell>
        </row>
        <row r="166">
          <cell r="A166" t="str">
            <v>62260R</v>
          </cell>
          <cell r="B166">
            <v>62260</v>
          </cell>
          <cell r="C166" t="str">
            <v>12 Lounge 4</v>
          </cell>
          <cell r="D166">
            <v>622640</v>
          </cell>
          <cell r="E166" t="str">
            <v>Waitstaff</v>
          </cell>
          <cell r="F166" t="str">
            <v>Food - Restaurant</v>
          </cell>
          <cell r="G166" t="str">
            <v>Food Service Regular Pay</v>
          </cell>
        </row>
        <row r="167">
          <cell r="A167" t="str">
            <v>62260OT</v>
          </cell>
          <cell r="B167">
            <v>62260</v>
          </cell>
          <cell r="C167" t="str">
            <v>12 Lounge 4</v>
          </cell>
          <cell r="D167">
            <v>622640</v>
          </cell>
          <cell r="E167" t="str">
            <v>Waitstaff</v>
          </cell>
          <cell r="F167" t="str">
            <v>Food - Restaurant</v>
          </cell>
          <cell r="G167" t="str">
            <v>Food Service Overtime</v>
          </cell>
        </row>
        <row r="168">
          <cell r="A168" t="str">
            <v>62260R</v>
          </cell>
          <cell r="B168">
            <v>62260</v>
          </cell>
          <cell r="C168" t="str">
            <v>13 Lounge 5</v>
          </cell>
          <cell r="D168">
            <v>622650</v>
          </cell>
          <cell r="E168" t="str">
            <v>Waitstaff</v>
          </cell>
          <cell r="F168" t="str">
            <v>Food - Restaurant</v>
          </cell>
          <cell r="G168" t="str">
            <v>Food Service Regular Pay</v>
          </cell>
        </row>
        <row r="169">
          <cell r="A169" t="str">
            <v>62260OT</v>
          </cell>
          <cell r="B169">
            <v>62260</v>
          </cell>
          <cell r="C169" t="str">
            <v>13 Lounge 5</v>
          </cell>
          <cell r="D169">
            <v>622650</v>
          </cell>
          <cell r="E169" t="str">
            <v>Waitstaff</v>
          </cell>
          <cell r="F169" t="str">
            <v>Food - Restaurant</v>
          </cell>
          <cell r="G169" t="str">
            <v>Food Service Overtime</v>
          </cell>
        </row>
        <row r="170">
          <cell r="A170" t="str">
            <v>62300R</v>
          </cell>
          <cell r="B170">
            <v>62300</v>
          </cell>
          <cell r="C170" t="str">
            <v>01 Restaurant 1</v>
          </cell>
          <cell r="D170">
            <v>623000</v>
          </cell>
          <cell r="E170" t="str">
            <v>Host</v>
          </cell>
          <cell r="F170" t="str">
            <v>Food - Restaurant</v>
          </cell>
          <cell r="G170" t="str">
            <v>Host Persons Regular Pay</v>
          </cell>
        </row>
        <row r="171">
          <cell r="A171" t="str">
            <v>62300OT</v>
          </cell>
          <cell r="B171">
            <v>62300</v>
          </cell>
          <cell r="C171" t="str">
            <v>01 Restaurant 1</v>
          </cell>
          <cell r="D171">
            <v>623000</v>
          </cell>
          <cell r="E171" t="str">
            <v>Host</v>
          </cell>
          <cell r="F171" t="str">
            <v>Food - Restaurant</v>
          </cell>
          <cell r="G171" t="str">
            <v>Host Persons Overtime</v>
          </cell>
        </row>
        <row r="172">
          <cell r="A172" t="str">
            <v>62300R</v>
          </cell>
          <cell r="B172">
            <v>62300</v>
          </cell>
          <cell r="C172" t="str">
            <v>02 Restaurant 2</v>
          </cell>
          <cell r="D172">
            <v>623020</v>
          </cell>
          <cell r="E172" t="str">
            <v>Host</v>
          </cell>
          <cell r="F172" t="str">
            <v>Food - Restaurant</v>
          </cell>
          <cell r="G172" t="str">
            <v>Host Persons Regular Pay</v>
          </cell>
        </row>
        <row r="173">
          <cell r="A173" t="str">
            <v>62300OT</v>
          </cell>
          <cell r="B173">
            <v>62300</v>
          </cell>
          <cell r="C173" t="str">
            <v>02 Restaurant 2</v>
          </cell>
          <cell r="D173">
            <v>623020</v>
          </cell>
          <cell r="E173" t="str">
            <v>Host</v>
          </cell>
          <cell r="F173" t="str">
            <v>Food - Restaurant</v>
          </cell>
          <cell r="G173" t="str">
            <v>Host Persons Overtime</v>
          </cell>
        </row>
        <row r="174">
          <cell r="A174" t="str">
            <v>62300R</v>
          </cell>
          <cell r="B174">
            <v>62300</v>
          </cell>
          <cell r="C174" t="str">
            <v>08 Lounge 3</v>
          </cell>
          <cell r="D174">
            <v>623030</v>
          </cell>
          <cell r="E174" t="str">
            <v>Host</v>
          </cell>
          <cell r="F174" t="str">
            <v>Food - Restaurant</v>
          </cell>
          <cell r="G174" t="str">
            <v>Host Persons Regular Pay</v>
          </cell>
        </row>
        <row r="175">
          <cell r="A175" t="str">
            <v>62300OT</v>
          </cell>
          <cell r="B175">
            <v>62300</v>
          </cell>
          <cell r="C175" t="str">
            <v>08 Lounge 3</v>
          </cell>
          <cell r="D175">
            <v>623030</v>
          </cell>
          <cell r="E175" t="str">
            <v>Host</v>
          </cell>
          <cell r="F175" t="str">
            <v>Food - Restaurant</v>
          </cell>
          <cell r="G175" t="str">
            <v>Host Persons Overtime</v>
          </cell>
        </row>
        <row r="176">
          <cell r="A176" t="str">
            <v>62300R</v>
          </cell>
          <cell r="B176">
            <v>62300</v>
          </cell>
          <cell r="C176" t="str">
            <v>12 Lounge 4</v>
          </cell>
          <cell r="D176">
            <v>623040</v>
          </cell>
          <cell r="E176" t="str">
            <v>Host</v>
          </cell>
          <cell r="F176" t="str">
            <v>Food - Restaurant</v>
          </cell>
          <cell r="G176" t="str">
            <v>Host Persons Regular Pay</v>
          </cell>
        </row>
        <row r="177">
          <cell r="A177" t="str">
            <v>62300OT</v>
          </cell>
          <cell r="B177">
            <v>62300</v>
          </cell>
          <cell r="C177" t="str">
            <v>12 Lounge 4</v>
          </cell>
          <cell r="D177">
            <v>623040</v>
          </cell>
          <cell r="E177" t="str">
            <v>Host</v>
          </cell>
          <cell r="F177" t="str">
            <v>Food - Restaurant</v>
          </cell>
          <cell r="G177" t="str">
            <v>Host Persons Overtime</v>
          </cell>
        </row>
        <row r="178">
          <cell r="A178" t="str">
            <v>62300R</v>
          </cell>
          <cell r="B178">
            <v>62300</v>
          </cell>
          <cell r="C178" t="str">
            <v>13 Lounge 5</v>
          </cell>
          <cell r="D178">
            <v>623050</v>
          </cell>
          <cell r="E178" t="str">
            <v>Host</v>
          </cell>
          <cell r="F178" t="str">
            <v>Food - Restaurant</v>
          </cell>
          <cell r="G178" t="str">
            <v>Host Persons Regular Pay</v>
          </cell>
        </row>
        <row r="179">
          <cell r="A179" t="str">
            <v>62300OT</v>
          </cell>
          <cell r="B179">
            <v>62300</v>
          </cell>
          <cell r="C179" t="str">
            <v>13 Lounge 5</v>
          </cell>
          <cell r="D179">
            <v>623050</v>
          </cell>
          <cell r="E179" t="str">
            <v>Host</v>
          </cell>
          <cell r="F179" t="str">
            <v>Food - Restaurant</v>
          </cell>
          <cell r="G179" t="str">
            <v>Host Persons Overtime</v>
          </cell>
        </row>
        <row r="180">
          <cell r="A180" t="str">
            <v>62350R</v>
          </cell>
          <cell r="B180">
            <v>62350</v>
          </cell>
          <cell r="C180" t="str">
            <v>11 Banquets</v>
          </cell>
          <cell r="D180">
            <v>623500</v>
          </cell>
          <cell r="E180" t="str">
            <v>Banquet Culinary</v>
          </cell>
          <cell r="F180" t="str">
            <v>Banquets</v>
          </cell>
          <cell r="G180" t="str">
            <v>Food Service-Catering Regular Pay</v>
          </cell>
        </row>
        <row r="181">
          <cell r="A181" t="str">
            <v>62350OT</v>
          </cell>
          <cell r="B181">
            <v>62350</v>
          </cell>
          <cell r="C181" t="str">
            <v>11 Banquets</v>
          </cell>
          <cell r="D181">
            <v>623500</v>
          </cell>
          <cell r="E181" t="str">
            <v>Banquet Culinary</v>
          </cell>
          <cell r="F181" t="str">
            <v>Banquets</v>
          </cell>
          <cell r="G181" t="str">
            <v>Food Service-Catering Overtime</v>
          </cell>
        </row>
        <row r="182">
          <cell r="A182" t="str">
            <v>62500R</v>
          </cell>
          <cell r="B182">
            <v>62500</v>
          </cell>
          <cell r="C182" t="str">
            <v>01 Restaurant 1</v>
          </cell>
          <cell r="D182">
            <v>625000</v>
          </cell>
          <cell r="E182" t="str">
            <v>Culinary</v>
          </cell>
          <cell r="F182" t="str">
            <v>Food - Kitchen</v>
          </cell>
          <cell r="G182" t="str">
            <v>Food Production Regular Pay</v>
          </cell>
        </row>
        <row r="183">
          <cell r="A183" t="str">
            <v>62500OT</v>
          </cell>
          <cell r="B183">
            <v>62500</v>
          </cell>
          <cell r="C183" t="str">
            <v>01 Restaurant 1</v>
          </cell>
          <cell r="D183">
            <v>625000</v>
          </cell>
          <cell r="E183" t="str">
            <v>Culinary</v>
          </cell>
          <cell r="F183" t="str">
            <v>Food - Kitchen</v>
          </cell>
          <cell r="G183" t="str">
            <v>Food Production Overtime</v>
          </cell>
        </row>
        <row r="184">
          <cell r="A184" t="str">
            <v>62500R</v>
          </cell>
          <cell r="B184">
            <v>62500</v>
          </cell>
          <cell r="C184" t="str">
            <v>00 F&amp;B General</v>
          </cell>
          <cell r="D184">
            <v>625001</v>
          </cell>
          <cell r="E184" t="str">
            <v>Culinary</v>
          </cell>
          <cell r="F184" t="str">
            <v>Food - Kitchen</v>
          </cell>
          <cell r="G184" t="str">
            <v>Food Production Regular Pay</v>
          </cell>
        </row>
        <row r="185">
          <cell r="A185" t="str">
            <v>62500OT</v>
          </cell>
          <cell r="B185">
            <v>62500</v>
          </cell>
          <cell r="C185" t="str">
            <v>00 F&amp;B General</v>
          </cell>
          <cell r="D185">
            <v>625001</v>
          </cell>
          <cell r="E185" t="str">
            <v>Culinary</v>
          </cell>
          <cell r="F185" t="str">
            <v>Food - Kitchen</v>
          </cell>
          <cell r="G185" t="str">
            <v>Food Production Overtime</v>
          </cell>
        </row>
        <row r="186">
          <cell r="A186" t="str">
            <v>62500R</v>
          </cell>
          <cell r="B186">
            <v>62500</v>
          </cell>
          <cell r="C186" t="str">
            <v>02 Restaurant 2</v>
          </cell>
          <cell r="D186">
            <v>625020</v>
          </cell>
          <cell r="E186" t="str">
            <v>Culinary</v>
          </cell>
          <cell r="F186" t="str">
            <v>Food - Kitchen</v>
          </cell>
          <cell r="G186" t="str">
            <v>Food Production Regular Pay</v>
          </cell>
        </row>
        <row r="187">
          <cell r="A187" t="str">
            <v>62500OT</v>
          </cell>
          <cell r="B187">
            <v>62500</v>
          </cell>
          <cell r="C187" t="str">
            <v>02 Restaurant 2</v>
          </cell>
          <cell r="D187">
            <v>625020</v>
          </cell>
          <cell r="E187" t="str">
            <v>Culinary</v>
          </cell>
          <cell r="F187" t="str">
            <v>Food - Kitchen</v>
          </cell>
          <cell r="G187" t="str">
            <v>Food Production Overtime</v>
          </cell>
        </row>
        <row r="188">
          <cell r="A188" t="str">
            <v>62500R</v>
          </cell>
          <cell r="B188">
            <v>62500</v>
          </cell>
          <cell r="C188" t="str">
            <v>08 Lounge 3</v>
          </cell>
          <cell r="D188">
            <v>625030</v>
          </cell>
          <cell r="E188" t="str">
            <v>Culinary</v>
          </cell>
          <cell r="F188" t="str">
            <v>Food - Kitchen</v>
          </cell>
          <cell r="G188" t="str">
            <v>Food Production Regular Pay</v>
          </cell>
        </row>
        <row r="189">
          <cell r="A189" t="str">
            <v>62500OT</v>
          </cell>
          <cell r="B189">
            <v>62500</v>
          </cell>
          <cell r="C189" t="str">
            <v>08 Lounge 3</v>
          </cell>
          <cell r="D189">
            <v>625030</v>
          </cell>
          <cell r="E189" t="str">
            <v>Culinary</v>
          </cell>
          <cell r="F189" t="str">
            <v>Food - Kitchen</v>
          </cell>
          <cell r="G189" t="str">
            <v>Food Production Overtime</v>
          </cell>
        </row>
        <row r="190">
          <cell r="A190" t="str">
            <v>62500R</v>
          </cell>
          <cell r="B190">
            <v>62500</v>
          </cell>
          <cell r="C190" t="str">
            <v>12 Lounge 4</v>
          </cell>
          <cell r="D190">
            <v>625040</v>
          </cell>
          <cell r="E190" t="str">
            <v>Culinary</v>
          </cell>
          <cell r="F190" t="str">
            <v>Food - Kitchen</v>
          </cell>
          <cell r="G190" t="str">
            <v>Food Production Regular Pay</v>
          </cell>
        </row>
        <row r="191">
          <cell r="A191" t="str">
            <v>62500OT</v>
          </cell>
          <cell r="B191">
            <v>62500</v>
          </cell>
          <cell r="C191" t="str">
            <v>12 Lounge 4</v>
          </cell>
          <cell r="D191">
            <v>625040</v>
          </cell>
          <cell r="E191" t="str">
            <v>Culinary</v>
          </cell>
          <cell r="F191" t="str">
            <v>Food - Kitchen</v>
          </cell>
          <cell r="G191" t="str">
            <v>Food Production Overtime</v>
          </cell>
        </row>
        <row r="192">
          <cell r="A192" t="str">
            <v>62500R</v>
          </cell>
          <cell r="B192">
            <v>62500</v>
          </cell>
          <cell r="C192" t="str">
            <v>13 Lounge 5</v>
          </cell>
          <cell r="D192">
            <v>625050</v>
          </cell>
          <cell r="E192" t="str">
            <v>Culinary</v>
          </cell>
          <cell r="F192" t="str">
            <v>Food - Kitchen</v>
          </cell>
          <cell r="G192" t="str">
            <v>Food Production Regular Pay</v>
          </cell>
        </row>
        <row r="193">
          <cell r="A193" t="str">
            <v>62500OT</v>
          </cell>
          <cell r="B193">
            <v>62500</v>
          </cell>
          <cell r="C193" t="str">
            <v>13 Lounge 5</v>
          </cell>
          <cell r="D193">
            <v>625050</v>
          </cell>
          <cell r="E193" t="str">
            <v>Culinary</v>
          </cell>
          <cell r="F193" t="str">
            <v>Food - Kitchen</v>
          </cell>
          <cell r="G193" t="str">
            <v>Food Production Overtime</v>
          </cell>
        </row>
        <row r="194">
          <cell r="A194" t="str">
            <v>62550R</v>
          </cell>
          <cell r="B194">
            <v>62550</v>
          </cell>
          <cell r="C194" t="str">
            <v>01 Restaurant 1</v>
          </cell>
          <cell r="D194">
            <v>625500</v>
          </cell>
          <cell r="E194" t="str">
            <v>Food Expeditor</v>
          </cell>
          <cell r="F194" t="str">
            <v>Food - Kitchen</v>
          </cell>
          <cell r="G194" t="str">
            <v>Bussers Regular Pay</v>
          </cell>
        </row>
        <row r="195">
          <cell r="A195" t="str">
            <v>62550OT</v>
          </cell>
          <cell r="B195">
            <v>62550</v>
          </cell>
          <cell r="C195" t="str">
            <v>01 Restaurant 1</v>
          </cell>
          <cell r="D195">
            <v>625500</v>
          </cell>
          <cell r="E195" t="str">
            <v>Food Expeditor</v>
          </cell>
          <cell r="F195" t="str">
            <v>Food - Kitchen</v>
          </cell>
          <cell r="G195" t="str">
            <v>Bussers Overtime</v>
          </cell>
        </row>
        <row r="196">
          <cell r="A196" t="str">
            <v>62550R</v>
          </cell>
          <cell r="B196">
            <v>62550</v>
          </cell>
          <cell r="C196" t="str">
            <v>02 Restaurant 2</v>
          </cell>
          <cell r="D196">
            <v>625520</v>
          </cell>
          <cell r="E196" t="str">
            <v>Food Expeditor</v>
          </cell>
          <cell r="F196" t="str">
            <v>Food - Kitchen</v>
          </cell>
          <cell r="G196" t="str">
            <v>Bussers Regular Pay</v>
          </cell>
        </row>
        <row r="197">
          <cell r="A197" t="str">
            <v>62550OT</v>
          </cell>
          <cell r="B197">
            <v>62550</v>
          </cell>
          <cell r="C197" t="str">
            <v>02 Restaurant 2</v>
          </cell>
          <cell r="D197">
            <v>625520</v>
          </cell>
          <cell r="E197" t="str">
            <v>Food Expeditor</v>
          </cell>
          <cell r="F197" t="str">
            <v>Food - Kitchen</v>
          </cell>
          <cell r="G197" t="str">
            <v>Bussers Overtime</v>
          </cell>
        </row>
        <row r="198">
          <cell r="A198" t="str">
            <v>62550R</v>
          </cell>
          <cell r="B198">
            <v>62550</v>
          </cell>
          <cell r="C198" t="str">
            <v>03 Restaurant 3</v>
          </cell>
          <cell r="D198">
            <v>625530</v>
          </cell>
          <cell r="E198" t="str">
            <v>Food Expeditor</v>
          </cell>
          <cell r="F198" t="str">
            <v>Food - Kitchen</v>
          </cell>
          <cell r="G198" t="str">
            <v>Bussers Regular Pay</v>
          </cell>
        </row>
        <row r="199">
          <cell r="A199" t="str">
            <v>62550OT</v>
          </cell>
          <cell r="B199">
            <v>62550</v>
          </cell>
          <cell r="C199" t="str">
            <v>03 Restaurant 3</v>
          </cell>
          <cell r="D199">
            <v>625530</v>
          </cell>
          <cell r="E199" t="str">
            <v>Food Expeditor</v>
          </cell>
          <cell r="F199" t="str">
            <v>Food - Kitchen</v>
          </cell>
          <cell r="G199" t="str">
            <v>Bussers Overtime</v>
          </cell>
        </row>
        <row r="200">
          <cell r="A200" t="str">
            <v>62550R</v>
          </cell>
          <cell r="B200">
            <v>62550</v>
          </cell>
          <cell r="C200" t="str">
            <v>12 Lounge 4</v>
          </cell>
          <cell r="D200">
            <v>625540</v>
          </cell>
          <cell r="E200" t="str">
            <v>Food Expeditor</v>
          </cell>
          <cell r="F200" t="str">
            <v>Food - Kitchen</v>
          </cell>
          <cell r="G200" t="str">
            <v>Bussers Regular Pay</v>
          </cell>
        </row>
        <row r="201">
          <cell r="A201" t="str">
            <v>62550OT</v>
          </cell>
          <cell r="B201">
            <v>62550</v>
          </cell>
          <cell r="C201" t="str">
            <v>12 Lounge 4</v>
          </cell>
          <cell r="D201">
            <v>625540</v>
          </cell>
          <cell r="E201" t="str">
            <v>Food Expeditor</v>
          </cell>
          <cell r="F201" t="str">
            <v>Food - Kitchen</v>
          </cell>
          <cell r="G201" t="str">
            <v>Bussers Overtime</v>
          </cell>
        </row>
        <row r="202">
          <cell r="A202" t="str">
            <v>62550R</v>
          </cell>
          <cell r="B202">
            <v>62550</v>
          </cell>
          <cell r="C202" t="str">
            <v>13 Lounge 5</v>
          </cell>
          <cell r="D202">
            <v>625550</v>
          </cell>
          <cell r="E202" t="str">
            <v>Food Expeditor</v>
          </cell>
          <cell r="F202" t="str">
            <v>Food - Kitchen</v>
          </cell>
          <cell r="G202" t="str">
            <v>Bussers Regular Pay</v>
          </cell>
        </row>
        <row r="203">
          <cell r="A203" t="str">
            <v>62550OT</v>
          </cell>
          <cell r="B203">
            <v>62550</v>
          </cell>
          <cell r="C203" t="str">
            <v>13 Lounge 5</v>
          </cell>
          <cell r="D203">
            <v>625550</v>
          </cell>
          <cell r="E203" t="str">
            <v>Food Expeditor</v>
          </cell>
          <cell r="F203" t="str">
            <v>Food - Kitchen</v>
          </cell>
          <cell r="G203" t="str">
            <v>Bussers Overtime</v>
          </cell>
        </row>
        <row r="204">
          <cell r="A204" t="str">
            <v>62560R</v>
          </cell>
          <cell r="B204">
            <v>62560</v>
          </cell>
          <cell r="C204" t="str">
            <v>11 Banquets</v>
          </cell>
          <cell r="D204">
            <v>625600</v>
          </cell>
          <cell r="E204" t="str">
            <v>Banquet Setup</v>
          </cell>
          <cell r="F204" t="str">
            <v>Banquets</v>
          </cell>
          <cell r="G204" t="str">
            <v>Banquet Setup Regular Pay</v>
          </cell>
        </row>
        <row r="205">
          <cell r="A205" t="str">
            <v>62560OT</v>
          </cell>
          <cell r="B205">
            <v>62560</v>
          </cell>
          <cell r="C205" t="str">
            <v>11 Banquets</v>
          </cell>
          <cell r="D205">
            <v>625600</v>
          </cell>
          <cell r="E205" t="str">
            <v>Banquet Setup</v>
          </cell>
          <cell r="F205" t="str">
            <v>Banquets</v>
          </cell>
          <cell r="G205" t="str">
            <v>Banquet Setup Overtime</v>
          </cell>
        </row>
        <row r="206">
          <cell r="A206" t="str">
            <v>62600R</v>
          </cell>
          <cell r="B206">
            <v>62600</v>
          </cell>
          <cell r="C206" t="str">
            <v>01 Restaurant 1</v>
          </cell>
          <cell r="D206">
            <v>626000</v>
          </cell>
          <cell r="E206" t="str">
            <v>Kitchen Steward</v>
          </cell>
          <cell r="F206" t="str">
            <v>Food - Kitchen</v>
          </cell>
          <cell r="G206" t="str">
            <v>Utility Persons Regular Pay</v>
          </cell>
        </row>
        <row r="207">
          <cell r="A207" t="str">
            <v>62600OT</v>
          </cell>
          <cell r="B207">
            <v>62600</v>
          </cell>
          <cell r="C207" t="str">
            <v>01 Restaurant 1</v>
          </cell>
          <cell r="D207">
            <v>626000</v>
          </cell>
          <cell r="E207" t="str">
            <v>Kitchen Steward</v>
          </cell>
          <cell r="F207" t="str">
            <v>Food - Kitchen</v>
          </cell>
          <cell r="G207" t="str">
            <v>Utility Persons Overtime</v>
          </cell>
        </row>
        <row r="208">
          <cell r="A208" t="str">
            <v>62600R</v>
          </cell>
          <cell r="B208">
            <v>62600</v>
          </cell>
          <cell r="C208" t="str">
            <v>00 F&amp;B General</v>
          </cell>
          <cell r="D208">
            <v>626001</v>
          </cell>
          <cell r="E208" t="str">
            <v>Kitchen Steward</v>
          </cell>
          <cell r="F208" t="str">
            <v>Food - Kitchen</v>
          </cell>
          <cell r="G208" t="str">
            <v>Utility Persons Regular Pay</v>
          </cell>
        </row>
        <row r="209">
          <cell r="A209" t="str">
            <v>62600OT</v>
          </cell>
          <cell r="B209">
            <v>62600</v>
          </cell>
          <cell r="C209" t="str">
            <v>00 F&amp;B General</v>
          </cell>
          <cell r="D209">
            <v>626001</v>
          </cell>
          <cell r="E209" t="str">
            <v>Kitchen Steward</v>
          </cell>
          <cell r="F209" t="str">
            <v>Food - Kitchen</v>
          </cell>
          <cell r="G209" t="str">
            <v>Utility Persons Overtime</v>
          </cell>
        </row>
        <row r="210">
          <cell r="A210" t="str">
            <v>62600R</v>
          </cell>
          <cell r="B210">
            <v>62600</v>
          </cell>
          <cell r="C210" t="str">
            <v>02 Restaurant 2</v>
          </cell>
          <cell r="D210">
            <v>626020</v>
          </cell>
          <cell r="E210" t="str">
            <v>Kitchen Steward</v>
          </cell>
          <cell r="F210" t="str">
            <v>Food - Kitchen</v>
          </cell>
          <cell r="G210" t="str">
            <v>Utility Persons Regular Pay</v>
          </cell>
        </row>
        <row r="211">
          <cell r="A211" t="str">
            <v>62600OT</v>
          </cell>
          <cell r="B211">
            <v>62600</v>
          </cell>
          <cell r="C211" t="str">
            <v>02 Restaurant 2</v>
          </cell>
          <cell r="D211">
            <v>626020</v>
          </cell>
          <cell r="E211" t="str">
            <v>Kitchen Steward</v>
          </cell>
          <cell r="F211" t="str">
            <v>Food - Kitchen</v>
          </cell>
          <cell r="G211" t="str">
            <v>Utility Persons Overtime</v>
          </cell>
        </row>
        <row r="212">
          <cell r="A212" t="str">
            <v>62600R</v>
          </cell>
          <cell r="B212">
            <v>62600</v>
          </cell>
          <cell r="C212" t="str">
            <v>03 Restaurant 3</v>
          </cell>
          <cell r="D212">
            <v>626030</v>
          </cell>
          <cell r="E212" t="str">
            <v>Kitchen Steward</v>
          </cell>
          <cell r="F212" t="str">
            <v>Food - Kitchen</v>
          </cell>
          <cell r="G212" t="str">
            <v>Utility Persons Regular Pay</v>
          </cell>
        </row>
        <row r="213">
          <cell r="A213" t="str">
            <v>62600OT</v>
          </cell>
          <cell r="B213">
            <v>62600</v>
          </cell>
          <cell r="C213" t="str">
            <v>03 Restaurant 3</v>
          </cell>
          <cell r="D213">
            <v>626030</v>
          </cell>
          <cell r="E213" t="str">
            <v>Kitchen Steward</v>
          </cell>
          <cell r="F213" t="str">
            <v>Food - Kitchen</v>
          </cell>
          <cell r="G213" t="str">
            <v>Utility Persons Overtime</v>
          </cell>
        </row>
        <row r="214">
          <cell r="A214" t="str">
            <v>62600R</v>
          </cell>
          <cell r="B214">
            <v>62600</v>
          </cell>
          <cell r="C214" t="str">
            <v>12 Lounge 4</v>
          </cell>
          <cell r="D214">
            <v>626040</v>
          </cell>
          <cell r="E214" t="str">
            <v>Kitchen Steward</v>
          </cell>
          <cell r="F214" t="str">
            <v>Food - Kitchen</v>
          </cell>
          <cell r="G214" t="str">
            <v>Utility Persons Regular Pay</v>
          </cell>
        </row>
        <row r="215">
          <cell r="A215" t="str">
            <v>62600OT</v>
          </cell>
          <cell r="B215">
            <v>62600</v>
          </cell>
          <cell r="C215" t="str">
            <v>12 Lounge 4</v>
          </cell>
          <cell r="D215">
            <v>626040</v>
          </cell>
          <cell r="E215" t="str">
            <v>Kitchen Steward</v>
          </cell>
          <cell r="F215" t="str">
            <v>Food - Kitchen</v>
          </cell>
          <cell r="G215" t="str">
            <v>Utility Persons Overtime</v>
          </cell>
        </row>
        <row r="216">
          <cell r="A216" t="str">
            <v>62600R</v>
          </cell>
          <cell r="B216">
            <v>62600</v>
          </cell>
          <cell r="C216" t="str">
            <v>13 Lounge 5</v>
          </cell>
          <cell r="D216">
            <v>626050</v>
          </cell>
          <cell r="E216" t="str">
            <v>Kitchen Steward</v>
          </cell>
          <cell r="F216" t="str">
            <v>Food - Kitchen</v>
          </cell>
          <cell r="G216" t="str">
            <v>Utility Persons Regular Pay</v>
          </cell>
        </row>
        <row r="217">
          <cell r="A217" t="str">
            <v>62600OT</v>
          </cell>
          <cell r="B217">
            <v>62600</v>
          </cell>
          <cell r="C217" t="str">
            <v>13 Lounge 5</v>
          </cell>
          <cell r="D217">
            <v>626050</v>
          </cell>
          <cell r="E217" t="str">
            <v>Kitchen Steward</v>
          </cell>
          <cell r="F217" t="str">
            <v>Food - Kitchen</v>
          </cell>
          <cell r="G217" t="str">
            <v>Utility Persons Overtime</v>
          </cell>
        </row>
        <row r="218">
          <cell r="A218" t="str">
            <v>64100R</v>
          </cell>
          <cell r="B218">
            <v>64100</v>
          </cell>
          <cell r="C218" t="str">
            <v>06 Lounge 1</v>
          </cell>
          <cell r="D218">
            <v>627000</v>
          </cell>
          <cell r="E218" t="str">
            <v>Bartender Restaurant</v>
          </cell>
          <cell r="F218" t="str">
            <v>Food - Bar</v>
          </cell>
          <cell r="G218" t="str">
            <v>Bartender Regular Pay</v>
          </cell>
        </row>
        <row r="219">
          <cell r="A219" t="str">
            <v>64100OT</v>
          </cell>
          <cell r="B219">
            <v>64100</v>
          </cell>
          <cell r="C219" t="str">
            <v>06 Lounge 1</v>
          </cell>
          <cell r="D219">
            <v>627000</v>
          </cell>
          <cell r="E219" t="str">
            <v>Bartender Restaurant</v>
          </cell>
          <cell r="F219" t="str">
            <v>Food - Bar</v>
          </cell>
          <cell r="G219" t="str">
            <v>Bartender Overtime</v>
          </cell>
        </row>
        <row r="220">
          <cell r="A220" t="str">
            <v>64100R</v>
          </cell>
          <cell r="B220">
            <v>64100</v>
          </cell>
          <cell r="C220" t="str">
            <v>07 Lounge 2</v>
          </cell>
          <cell r="D220">
            <v>627010</v>
          </cell>
          <cell r="E220" t="str">
            <v>Bartender Restaurant</v>
          </cell>
          <cell r="F220" t="str">
            <v>Food - Bar</v>
          </cell>
          <cell r="G220" t="str">
            <v>Bartender Regular Pay</v>
          </cell>
        </row>
        <row r="221">
          <cell r="A221" t="str">
            <v>64100OT</v>
          </cell>
          <cell r="B221">
            <v>64100</v>
          </cell>
          <cell r="C221" t="str">
            <v>07 Lounge 2</v>
          </cell>
          <cell r="D221">
            <v>627010</v>
          </cell>
          <cell r="E221" t="str">
            <v>Bartender Restaurant</v>
          </cell>
          <cell r="F221" t="str">
            <v>Food - Bar</v>
          </cell>
          <cell r="G221" t="str">
            <v>Bartender Overtime</v>
          </cell>
        </row>
        <row r="222">
          <cell r="A222" t="str">
            <v>64100R</v>
          </cell>
          <cell r="B222">
            <v>64100</v>
          </cell>
          <cell r="C222" t="str">
            <v>08 Lounge 3</v>
          </cell>
          <cell r="D222">
            <v>627020</v>
          </cell>
          <cell r="E222" t="str">
            <v>Bartender Restaurant</v>
          </cell>
          <cell r="F222" t="str">
            <v>Food - Bar</v>
          </cell>
          <cell r="G222" t="str">
            <v>Bartender Regular Pay</v>
          </cell>
        </row>
        <row r="223">
          <cell r="A223" t="str">
            <v>64100OT</v>
          </cell>
          <cell r="B223">
            <v>64100</v>
          </cell>
          <cell r="C223" t="str">
            <v>08 Lounge 3</v>
          </cell>
          <cell r="D223">
            <v>627020</v>
          </cell>
          <cell r="E223" t="str">
            <v>Bartender Restaurant</v>
          </cell>
          <cell r="F223" t="str">
            <v>Food - Bar</v>
          </cell>
          <cell r="G223" t="str">
            <v>Bartender Overtime</v>
          </cell>
        </row>
        <row r="224">
          <cell r="A224" t="str">
            <v>64100R</v>
          </cell>
          <cell r="B224">
            <v>64100</v>
          </cell>
          <cell r="C224" t="str">
            <v>01 Restaurant 1</v>
          </cell>
          <cell r="D224">
            <v>627030</v>
          </cell>
          <cell r="E224" t="str">
            <v>Bartender Restaurant</v>
          </cell>
          <cell r="F224" t="str">
            <v>Food - Bar</v>
          </cell>
          <cell r="G224" t="str">
            <v>Bartender Regular Pay</v>
          </cell>
        </row>
        <row r="225">
          <cell r="A225" t="str">
            <v>64100OT</v>
          </cell>
          <cell r="B225">
            <v>64100</v>
          </cell>
          <cell r="C225" t="str">
            <v>01 Restaurant 1</v>
          </cell>
          <cell r="D225">
            <v>627030</v>
          </cell>
          <cell r="E225" t="str">
            <v>Bartender Restaurant</v>
          </cell>
          <cell r="F225" t="str">
            <v>Food - Bar</v>
          </cell>
          <cell r="G225" t="str">
            <v>Bartender Overtime</v>
          </cell>
        </row>
        <row r="226">
          <cell r="A226" t="str">
            <v>64100R</v>
          </cell>
          <cell r="B226">
            <v>64100</v>
          </cell>
          <cell r="C226" t="str">
            <v>02 Restaurant 2</v>
          </cell>
          <cell r="D226">
            <v>627040</v>
          </cell>
          <cell r="E226" t="str">
            <v>Bartender Restaurant</v>
          </cell>
          <cell r="F226" t="str">
            <v>Food - Bar</v>
          </cell>
          <cell r="G226" t="str">
            <v>Bartender Regular Pay</v>
          </cell>
        </row>
        <row r="227">
          <cell r="A227" t="str">
            <v>64100OT</v>
          </cell>
          <cell r="B227">
            <v>64100</v>
          </cell>
          <cell r="C227" t="str">
            <v>02 Restaurant 2</v>
          </cell>
          <cell r="D227">
            <v>627040</v>
          </cell>
          <cell r="E227" t="str">
            <v>Bartender Restaurant</v>
          </cell>
          <cell r="F227" t="str">
            <v>Food - Bar</v>
          </cell>
          <cell r="G227" t="str">
            <v>Bartender Overtime</v>
          </cell>
        </row>
        <row r="228">
          <cell r="A228" t="str">
            <v>64100R</v>
          </cell>
          <cell r="B228">
            <v>64100</v>
          </cell>
          <cell r="C228" t="str">
            <v>03 Restaurant 3</v>
          </cell>
          <cell r="D228">
            <v>627050</v>
          </cell>
          <cell r="E228" t="str">
            <v>Bartender Restaurant</v>
          </cell>
          <cell r="F228" t="str">
            <v>Food - Bar</v>
          </cell>
          <cell r="G228" t="str">
            <v>Bartender Regular Pay</v>
          </cell>
        </row>
        <row r="229">
          <cell r="A229" t="str">
            <v>64100OT</v>
          </cell>
          <cell r="B229">
            <v>64100</v>
          </cell>
          <cell r="C229" t="str">
            <v>03 Restaurant 3</v>
          </cell>
          <cell r="D229">
            <v>627050</v>
          </cell>
          <cell r="E229" t="str">
            <v>Bartender Restaurant</v>
          </cell>
          <cell r="F229" t="str">
            <v>Food - Bar</v>
          </cell>
          <cell r="G229" t="str">
            <v>Bartender Overtime</v>
          </cell>
        </row>
        <row r="230">
          <cell r="A230" t="str">
            <v>64200R</v>
          </cell>
          <cell r="B230">
            <v>64200</v>
          </cell>
          <cell r="C230" t="str">
            <v>06 Lounge 1</v>
          </cell>
          <cell r="D230">
            <v>627200</v>
          </cell>
          <cell r="E230" t="str">
            <v>Bar Server Restaurant</v>
          </cell>
          <cell r="F230" t="str">
            <v>Food - Bar</v>
          </cell>
          <cell r="G230" t="str">
            <v>Cocktail Servers Regular Pay</v>
          </cell>
        </row>
        <row r="231">
          <cell r="A231" t="str">
            <v>64200OT</v>
          </cell>
          <cell r="B231">
            <v>64200</v>
          </cell>
          <cell r="C231" t="str">
            <v>06 Lounge 1</v>
          </cell>
          <cell r="D231">
            <v>627200</v>
          </cell>
          <cell r="E231" t="str">
            <v>Bar Server Restaurant</v>
          </cell>
          <cell r="F231" t="str">
            <v>Food - Bar</v>
          </cell>
          <cell r="G231" t="str">
            <v>Cocktail Servers Overtime</v>
          </cell>
        </row>
        <row r="232">
          <cell r="A232" t="str">
            <v>64200R</v>
          </cell>
          <cell r="B232">
            <v>64200</v>
          </cell>
          <cell r="C232" t="str">
            <v>06 Lounge 1</v>
          </cell>
          <cell r="D232">
            <v>627210</v>
          </cell>
          <cell r="E232" t="str">
            <v>Bar Server Restaurant</v>
          </cell>
          <cell r="F232" t="str">
            <v>Food - Bar</v>
          </cell>
          <cell r="G232" t="str">
            <v>Cocktail Servers Regular Pay</v>
          </cell>
        </row>
        <row r="233">
          <cell r="A233" t="str">
            <v>64200OT</v>
          </cell>
          <cell r="B233">
            <v>64200</v>
          </cell>
          <cell r="C233" t="str">
            <v>06 Lounge 1</v>
          </cell>
          <cell r="D233">
            <v>627210</v>
          </cell>
          <cell r="E233" t="str">
            <v>Bar Server Restaurant</v>
          </cell>
          <cell r="F233" t="str">
            <v>Food - Bar</v>
          </cell>
          <cell r="G233" t="str">
            <v>Cocktail Servers Overtime</v>
          </cell>
        </row>
        <row r="234">
          <cell r="A234" t="str">
            <v>64200R</v>
          </cell>
          <cell r="B234">
            <v>64200</v>
          </cell>
          <cell r="C234" t="str">
            <v>07 Lounge 2</v>
          </cell>
          <cell r="D234">
            <v>627220</v>
          </cell>
          <cell r="E234" t="str">
            <v>Bar Server Restaurant</v>
          </cell>
          <cell r="F234" t="str">
            <v>Food - Bar</v>
          </cell>
          <cell r="G234" t="str">
            <v>Cocktail Servers Regular Pay</v>
          </cell>
        </row>
        <row r="235">
          <cell r="A235" t="str">
            <v>64200OT</v>
          </cell>
          <cell r="B235">
            <v>64200</v>
          </cell>
          <cell r="C235" t="str">
            <v>07 Lounge 2</v>
          </cell>
          <cell r="D235">
            <v>627220</v>
          </cell>
          <cell r="E235" t="str">
            <v>Bar Server Restaurant</v>
          </cell>
          <cell r="F235" t="str">
            <v>Food - Bar</v>
          </cell>
          <cell r="G235" t="str">
            <v>Cocktail Servers Overtime</v>
          </cell>
        </row>
        <row r="236">
          <cell r="A236" t="str">
            <v>64200R</v>
          </cell>
          <cell r="B236">
            <v>64200</v>
          </cell>
          <cell r="C236" t="str">
            <v>08 Lounge 3</v>
          </cell>
          <cell r="D236">
            <v>627230</v>
          </cell>
          <cell r="E236" t="str">
            <v>Bar Server Restaurant</v>
          </cell>
          <cell r="F236" t="str">
            <v>Food - Bar</v>
          </cell>
          <cell r="G236" t="str">
            <v>Cocktail Servers Regular Pay</v>
          </cell>
        </row>
        <row r="237">
          <cell r="A237" t="str">
            <v>64200OT</v>
          </cell>
          <cell r="B237">
            <v>64200</v>
          </cell>
          <cell r="C237" t="str">
            <v>08 Lounge 3</v>
          </cell>
          <cell r="D237">
            <v>627230</v>
          </cell>
          <cell r="E237" t="str">
            <v>Bar Server Restaurant</v>
          </cell>
          <cell r="F237" t="str">
            <v>Food - Bar</v>
          </cell>
          <cell r="G237" t="str">
            <v>Cocktail Servers Overtime</v>
          </cell>
        </row>
        <row r="238">
          <cell r="A238" t="str">
            <v>64200R</v>
          </cell>
          <cell r="B238">
            <v>64200</v>
          </cell>
          <cell r="C238" t="str">
            <v>01 Restaurant 1</v>
          </cell>
          <cell r="D238">
            <v>627240</v>
          </cell>
          <cell r="E238" t="str">
            <v>Bar Server Restaurant</v>
          </cell>
          <cell r="F238" t="str">
            <v>Food - Bar</v>
          </cell>
          <cell r="G238" t="str">
            <v>Cocktail Servers Regular Pay</v>
          </cell>
        </row>
        <row r="239">
          <cell r="A239" t="str">
            <v>64200OT</v>
          </cell>
          <cell r="B239">
            <v>64200</v>
          </cell>
          <cell r="C239" t="str">
            <v>01 Restaurant 1</v>
          </cell>
          <cell r="D239">
            <v>627240</v>
          </cell>
          <cell r="E239" t="str">
            <v>Bar Server Restaurant</v>
          </cell>
          <cell r="F239" t="str">
            <v>Food - Bar</v>
          </cell>
          <cell r="G239" t="str">
            <v>Cocktail Servers Overtime</v>
          </cell>
        </row>
        <row r="240">
          <cell r="A240" t="str">
            <v>64200R</v>
          </cell>
          <cell r="B240">
            <v>64200</v>
          </cell>
          <cell r="C240" t="str">
            <v>02 Restaurant 2</v>
          </cell>
          <cell r="D240">
            <v>627250</v>
          </cell>
          <cell r="E240" t="str">
            <v>Bar Server Restaurant</v>
          </cell>
          <cell r="F240" t="str">
            <v>Food - Bar</v>
          </cell>
          <cell r="G240" t="str">
            <v>Cocktail Servers Regular Pay</v>
          </cell>
        </row>
        <row r="241">
          <cell r="A241" t="str">
            <v>64200OT</v>
          </cell>
          <cell r="B241">
            <v>64200</v>
          </cell>
          <cell r="C241" t="str">
            <v>02 Restaurant 2</v>
          </cell>
          <cell r="D241">
            <v>627250</v>
          </cell>
          <cell r="E241" t="str">
            <v>Bar Server Restaurant</v>
          </cell>
          <cell r="F241" t="str">
            <v>Food - Bar</v>
          </cell>
          <cell r="G241" t="str">
            <v>Cocktail Servers Overtime</v>
          </cell>
        </row>
        <row r="242">
          <cell r="A242" t="str">
            <v>64200R</v>
          </cell>
          <cell r="B242">
            <v>64200</v>
          </cell>
          <cell r="C242" t="str">
            <v>03 Restaurant 3</v>
          </cell>
          <cell r="D242">
            <v>627260</v>
          </cell>
          <cell r="E242" t="str">
            <v>Bar Server Restaurant</v>
          </cell>
          <cell r="F242" t="str">
            <v>Food - Bar</v>
          </cell>
          <cell r="G242" t="str">
            <v>Cocktail Servers Regular Pay</v>
          </cell>
        </row>
        <row r="243">
          <cell r="A243" t="str">
            <v>64200OT</v>
          </cell>
          <cell r="B243">
            <v>64200</v>
          </cell>
          <cell r="C243" t="str">
            <v>03 Restaurant 3</v>
          </cell>
          <cell r="D243">
            <v>627260</v>
          </cell>
          <cell r="E243" t="str">
            <v>Bar Server Restaurant</v>
          </cell>
          <cell r="F243" t="str">
            <v>Food - Bar</v>
          </cell>
          <cell r="G243" t="str">
            <v>Cocktail Servers Overtime</v>
          </cell>
        </row>
        <row r="244">
          <cell r="A244" t="str">
            <v>64120R</v>
          </cell>
          <cell r="B244">
            <v>64120</v>
          </cell>
          <cell r="C244" t="str">
            <v>06 Lounge 1</v>
          </cell>
          <cell r="D244">
            <v>627300</v>
          </cell>
          <cell r="E244" t="str">
            <v>Bar Manager Restaurant</v>
          </cell>
          <cell r="F244" t="str">
            <v>Food - Bar</v>
          </cell>
          <cell r="G244" t="str">
            <v>Beverage Manager Regular Pay</v>
          </cell>
        </row>
        <row r="245">
          <cell r="A245" t="str">
            <v>64120OT</v>
          </cell>
          <cell r="B245">
            <v>64120</v>
          </cell>
          <cell r="C245" t="str">
            <v>06 Lounge 1</v>
          </cell>
          <cell r="D245">
            <v>627300</v>
          </cell>
          <cell r="E245" t="str">
            <v>Bar Manager Restaurant</v>
          </cell>
          <cell r="F245" t="str">
            <v>Food - Bar</v>
          </cell>
          <cell r="G245" t="str">
            <v>Beverage Manager Overtime</v>
          </cell>
        </row>
        <row r="246">
          <cell r="A246" t="str">
            <v>64120R</v>
          </cell>
          <cell r="B246">
            <v>64120</v>
          </cell>
          <cell r="C246" t="str">
            <v>07 Lounge 2</v>
          </cell>
          <cell r="D246">
            <v>627310</v>
          </cell>
          <cell r="E246" t="str">
            <v>Bar Manager Restaurant</v>
          </cell>
          <cell r="F246" t="str">
            <v>Food - Bar</v>
          </cell>
          <cell r="G246" t="str">
            <v>Beverage Manager Regular Pay</v>
          </cell>
        </row>
        <row r="247">
          <cell r="A247" t="str">
            <v>64120OT</v>
          </cell>
          <cell r="B247">
            <v>64120</v>
          </cell>
          <cell r="C247" t="str">
            <v>07 Lounge 2</v>
          </cell>
          <cell r="D247">
            <v>627310</v>
          </cell>
          <cell r="E247" t="str">
            <v>Bar Manager Restaurant</v>
          </cell>
          <cell r="F247" t="str">
            <v>Food - Bar</v>
          </cell>
          <cell r="G247" t="str">
            <v>Beverage Manager Overtime</v>
          </cell>
        </row>
        <row r="248">
          <cell r="A248" t="str">
            <v>64120R</v>
          </cell>
          <cell r="B248">
            <v>64120</v>
          </cell>
          <cell r="C248" t="str">
            <v>08 Lounge 3</v>
          </cell>
          <cell r="D248">
            <v>627320</v>
          </cell>
          <cell r="E248" t="str">
            <v>Bar Manager Restaurant</v>
          </cell>
          <cell r="F248" t="str">
            <v>Food - Bar</v>
          </cell>
          <cell r="G248" t="str">
            <v>Beverage Manager Regular Pay</v>
          </cell>
        </row>
        <row r="249">
          <cell r="A249" t="str">
            <v>64120OT</v>
          </cell>
          <cell r="B249">
            <v>64120</v>
          </cell>
          <cell r="C249" t="str">
            <v>08 Lounge 3</v>
          </cell>
          <cell r="D249">
            <v>627320</v>
          </cell>
          <cell r="E249" t="str">
            <v>Bar Manager Restaurant</v>
          </cell>
          <cell r="F249" t="str">
            <v>Food - Bar</v>
          </cell>
          <cell r="G249" t="str">
            <v>Beverage Manager Overtime</v>
          </cell>
        </row>
        <row r="250">
          <cell r="A250" t="str">
            <v>64120R</v>
          </cell>
          <cell r="B250">
            <v>64120</v>
          </cell>
          <cell r="D250">
            <v>627330</v>
          </cell>
          <cell r="E250" t="str">
            <v>Bar Manager Restaurant</v>
          </cell>
          <cell r="F250" t="str">
            <v>Food - Bar</v>
          </cell>
          <cell r="G250" t="str">
            <v>Beverage Manager Regular Pay</v>
          </cell>
        </row>
        <row r="251">
          <cell r="A251" t="str">
            <v>64120OT</v>
          </cell>
          <cell r="B251">
            <v>64120</v>
          </cell>
          <cell r="D251">
            <v>627330</v>
          </cell>
          <cell r="E251" t="str">
            <v>Bar Manager Restaurant</v>
          </cell>
          <cell r="F251" t="str">
            <v>Food - Bar</v>
          </cell>
          <cell r="G251" t="str">
            <v>Beverage Manager Overtime</v>
          </cell>
        </row>
        <row r="252">
          <cell r="A252" t="str">
            <v>64120R</v>
          </cell>
          <cell r="B252">
            <v>64120</v>
          </cell>
          <cell r="D252">
            <v>627340</v>
          </cell>
          <cell r="E252" t="str">
            <v>Bar Manager Restaurant</v>
          </cell>
          <cell r="F252" t="str">
            <v>Food - Bar</v>
          </cell>
          <cell r="G252" t="str">
            <v>Beverage Manager Regular Pay</v>
          </cell>
        </row>
        <row r="253">
          <cell r="A253" t="str">
            <v>64120OT</v>
          </cell>
          <cell r="B253">
            <v>64120</v>
          </cell>
          <cell r="D253">
            <v>627340</v>
          </cell>
          <cell r="E253" t="str">
            <v>Bar Manager Restaurant</v>
          </cell>
          <cell r="F253" t="str">
            <v>Food - Bar</v>
          </cell>
          <cell r="G253" t="str">
            <v>Beverage Manager Overtime</v>
          </cell>
        </row>
        <row r="254">
          <cell r="A254" t="str">
            <v>62800R</v>
          </cell>
          <cell r="B254">
            <v>62800</v>
          </cell>
          <cell r="C254" t="str">
            <v>01 Restaurant 1</v>
          </cell>
          <cell r="D254">
            <v>628000</v>
          </cell>
          <cell r="E254" t="str">
            <v>F&amp;B Training</v>
          </cell>
          <cell r="F254" t="str">
            <v>Food</v>
          </cell>
          <cell r="G254" t="str">
            <v>Training Payroll Regular Pay</v>
          </cell>
        </row>
        <row r="255">
          <cell r="A255" t="str">
            <v>62800OT</v>
          </cell>
          <cell r="B255">
            <v>62800</v>
          </cell>
          <cell r="C255" t="str">
            <v>01 Restaurant 1</v>
          </cell>
          <cell r="D255">
            <v>628000</v>
          </cell>
          <cell r="E255" t="str">
            <v>F&amp;B Training</v>
          </cell>
          <cell r="F255" t="str">
            <v>Food</v>
          </cell>
          <cell r="G255" t="str">
            <v>Training Payroll Overtime</v>
          </cell>
        </row>
        <row r="256">
          <cell r="A256" t="str">
            <v>62800R</v>
          </cell>
          <cell r="B256">
            <v>62800</v>
          </cell>
          <cell r="C256" t="str">
            <v>02 Restaurant 2</v>
          </cell>
          <cell r="D256">
            <v>628020</v>
          </cell>
          <cell r="E256" t="str">
            <v>F&amp;B Training</v>
          </cell>
          <cell r="F256" t="str">
            <v>Food</v>
          </cell>
          <cell r="G256" t="str">
            <v>Training Payroll Regular Pay</v>
          </cell>
        </row>
        <row r="257">
          <cell r="A257" t="str">
            <v>62800OT</v>
          </cell>
          <cell r="B257">
            <v>62800</v>
          </cell>
          <cell r="C257" t="str">
            <v>02 Restaurant 2</v>
          </cell>
          <cell r="D257">
            <v>628020</v>
          </cell>
          <cell r="E257" t="str">
            <v>F&amp;B Training</v>
          </cell>
          <cell r="F257" t="str">
            <v>Food</v>
          </cell>
          <cell r="G257" t="str">
            <v>Training Payroll Overtime</v>
          </cell>
        </row>
        <row r="258">
          <cell r="A258" t="str">
            <v>62800R</v>
          </cell>
          <cell r="B258">
            <v>62800</v>
          </cell>
          <cell r="C258" t="str">
            <v>03 Restaurant 3</v>
          </cell>
          <cell r="D258">
            <v>628030</v>
          </cell>
          <cell r="E258" t="str">
            <v>F&amp;B Training</v>
          </cell>
          <cell r="F258" t="str">
            <v>Food</v>
          </cell>
          <cell r="G258" t="str">
            <v>Training Payroll Regular Pay</v>
          </cell>
        </row>
        <row r="259">
          <cell r="A259" t="str">
            <v>62800OT</v>
          </cell>
          <cell r="B259">
            <v>62800</v>
          </cell>
          <cell r="C259" t="str">
            <v>03 Restaurant 3</v>
          </cell>
          <cell r="D259">
            <v>628030</v>
          </cell>
          <cell r="E259" t="str">
            <v>F&amp;B Training</v>
          </cell>
          <cell r="F259" t="str">
            <v>Food</v>
          </cell>
          <cell r="G259" t="str">
            <v>Training Payroll Overtime</v>
          </cell>
        </row>
        <row r="260">
          <cell r="A260" t="str">
            <v>62800R</v>
          </cell>
          <cell r="B260">
            <v>62800</v>
          </cell>
          <cell r="C260" t="str">
            <v>04 Restaurant 4</v>
          </cell>
          <cell r="D260">
            <v>628040</v>
          </cell>
          <cell r="E260" t="str">
            <v>F&amp;B Training</v>
          </cell>
          <cell r="F260" t="str">
            <v>Food</v>
          </cell>
          <cell r="G260" t="str">
            <v>Training Payroll Regular Pay</v>
          </cell>
        </row>
        <row r="261">
          <cell r="A261" t="str">
            <v>62800OT</v>
          </cell>
          <cell r="B261">
            <v>62800</v>
          </cell>
          <cell r="C261" t="str">
            <v>04 Restaurant 4</v>
          </cell>
          <cell r="D261">
            <v>628040</v>
          </cell>
          <cell r="E261" t="str">
            <v>F&amp;B Training</v>
          </cell>
          <cell r="F261" t="str">
            <v>Food</v>
          </cell>
          <cell r="G261" t="str">
            <v>Training Payroll Overtime</v>
          </cell>
        </row>
        <row r="262">
          <cell r="A262" t="str">
            <v>62800R</v>
          </cell>
          <cell r="B262">
            <v>62800</v>
          </cell>
          <cell r="C262" t="str">
            <v>05 Restaurant 5</v>
          </cell>
          <cell r="D262">
            <v>628050</v>
          </cell>
          <cell r="E262" t="str">
            <v>F&amp;B Training</v>
          </cell>
          <cell r="F262" t="str">
            <v>Food</v>
          </cell>
          <cell r="G262" t="str">
            <v>Training Payroll Regular Pay</v>
          </cell>
        </row>
        <row r="263">
          <cell r="A263" t="str">
            <v>62800OT</v>
          </cell>
          <cell r="B263">
            <v>62800</v>
          </cell>
          <cell r="C263" t="str">
            <v>05 Restaurant 5</v>
          </cell>
          <cell r="D263">
            <v>628050</v>
          </cell>
          <cell r="E263" t="str">
            <v>F&amp;B Training</v>
          </cell>
          <cell r="F263" t="str">
            <v>Food</v>
          </cell>
          <cell r="G263" t="str">
            <v>Training Payroll Overtime</v>
          </cell>
        </row>
        <row r="264">
          <cell r="A264" t="str">
            <v>64100R</v>
          </cell>
          <cell r="B264">
            <v>64100</v>
          </cell>
          <cell r="C264" t="str">
            <v>06 Lounge 1</v>
          </cell>
          <cell r="D264">
            <v>641000</v>
          </cell>
          <cell r="E264" t="str">
            <v>Bartender</v>
          </cell>
          <cell r="F264" t="str">
            <v>Beverage</v>
          </cell>
          <cell r="G264" t="str">
            <v>Bartender Regular Pay</v>
          </cell>
        </row>
        <row r="265">
          <cell r="A265" t="str">
            <v>64100OT</v>
          </cell>
          <cell r="B265">
            <v>64100</v>
          </cell>
          <cell r="C265" t="str">
            <v>06 Lounge 1</v>
          </cell>
          <cell r="D265">
            <v>641000</v>
          </cell>
          <cell r="E265" t="str">
            <v>Bartender</v>
          </cell>
          <cell r="F265" t="str">
            <v>Beverage</v>
          </cell>
          <cell r="G265" t="str">
            <v>Bartender Overtime</v>
          </cell>
        </row>
        <row r="266">
          <cell r="A266" t="str">
            <v>64100R</v>
          </cell>
          <cell r="B266">
            <v>61400</v>
          </cell>
          <cell r="C266" t="str">
            <v>11 Banquets</v>
          </cell>
          <cell r="D266">
            <v>641001</v>
          </cell>
          <cell r="E266" t="str">
            <v>Bartender</v>
          </cell>
          <cell r="F266" t="str">
            <v>Banquets</v>
          </cell>
          <cell r="G266" t="str">
            <v>Bartender Regular Pay</v>
          </cell>
        </row>
        <row r="267">
          <cell r="A267" t="str">
            <v>64100OT</v>
          </cell>
          <cell r="B267">
            <v>61400</v>
          </cell>
          <cell r="C267" t="str">
            <v>11 Banquets</v>
          </cell>
          <cell r="D267">
            <v>641001</v>
          </cell>
          <cell r="E267" t="str">
            <v>Bartender</v>
          </cell>
          <cell r="F267" t="str">
            <v>Banquets</v>
          </cell>
          <cell r="G267" t="str">
            <v>Bartender Overtime</v>
          </cell>
        </row>
        <row r="268">
          <cell r="A268" t="str">
            <v>64100R</v>
          </cell>
          <cell r="B268">
            <v>64100</v>
          </cell>
          <cell r="C268" t="str">
            <v>07 Lounge 2</v>
          </cell>
          <cell r="D268">
            <v>641020</v>
          </cell>
          <cell r="E268" t="str">
            <v>Bartender</v>
          </cell>
          <cell r="F268" t="str">
            <v>Beverage</v>
          </cell>
          <cell r="G268" t="str">
            <v>Bartender Regular Pay</v>
          </cell>
        </row>
        <row r="269">
          <cell r="A269" t="str">
            <v>64100OT</v>
          </cell>
          <cell r="B269">
            <v>64100</v>
          </cell>
          <cell r="C269" t="str">
            <v>07 Lounge 2</v>
          </cell>
          <cell r="D269">
            <v>641020</v>
          </cell>
          <cell r="E269" t="str">
            <v>Bartender</v>
          </cell>
          <cell r="F269" t="str">
            <v>Beverage</v>
          </cell>
          <cell r="G269" t="str">
            <v>Bartender Overtime</v>
          </cell>
        </row>
        <row r="270">
          <cell r="A270" t="str">
            <v>64100R</v>
          </cell>
          <cell r="B270">
            <v>64100</v>
          </cell>
          <cell r="C270" t="str">
            <v>08 Lounge 3</v>
          </cell>
          <cell r="D270">
            <v>641030</v>
          </cell>
          <cell r="E270" t="str">
            <v>Bartender</v>
          </cell>
          <cell r="F270" t="str">
            <v>Beverage</v>
          </cell>
          <cell r="G270" t="str">
            <v>Bartender Regular Pay</v>
          </cell>
        </row>
        <row r="271">
          <cell r="A271" t="str">
            <v>64100OT</v>
          </cell>
          <cell r="B271">
            <v>64100</v>
          </cell>
          <cell r="C271" t="str">
            <v>08 Lounge 3</v>
          </cell>
          <cell r="D271">
            <v>641030</v>
          </cell>
          <cell r="E271" t="str">
            <v>Bartender</v>
          </cell>
          <cell r="F271" t="str">
            <v>Beverage</v>
          </cell>
          <cell r="G271" t="str">
            <v>Bartender Overtime</v>
          </cell>
        </row>
        <row r="272">
          <cell r="A272" t="str">
            <v>64100R</v>
          </cell>
          <cell r="B272">
            <v>64100</v>
          </cell>
          <cell r="C272" t="str">
            <v>01 Restaurant 1</v>
          </cell>
          <cell r="D272">
            <v>641040</v>
          </cell>
          <cell r="E272" t="str">
            <v>Bartender</v>
          </cell>
          <cell r="F272" t="str">
            <v>Beverage</v>
          </cell>
          <cell r="G272" t="str">
            <v>Bartender Regular Pay</v>
          </cell>
        </row>
        <row r="273">
          <cell r="A273" t="str">
            <v>64100OT</v>
          </cell>
          <cell r="B273">
            <v>64100</v>
          </cell>
          <cell r="C273" t="str">
            <v>01 Restaurant 1</v>
          </cell>
          <cell r="D273">
            <v>641040</v>
          </cell>
          <cell r="E273" t="str">
            <v>Bartender</v>
          </cell>
          <cell r="F273" t="str">
            <v>Beverage</v>
          </cell>
          <cell r="G273" t="str">
            <v>Bartender Overtime</v>
          </cell>
        </row>
        <row r="274">
          <cell r="A274" t="str">
            <v>64100R</v>
          </cell>
          <cell r="B274">
            <v>64100</v>
          </cell>
          <cell r="C274" t="str">
            <v>02 Restaurant 2</v>
          </cell>
          <cell r="D274">
            <v>641050</v>
          </cell>
          <cell r="E274" t="str">
            <v>Bartender</v>
          </cell>
          <cell r="F274" t="str">
            <v>Beverage</v>
          </cell>
          <cell r="G274" t="str">
            <v>Bartender Regular Pay</v>
          </cell>
        </row>
        <row r="275">
          <cell r="A275" t="str">
            <v>64100OT</v>
          </cell>
          <cell r="B275">
            <v>64100</v>
          </cell>
          <cell r="C275" t="str">
            <v>02 Restaurant 2</v>
          </cell>
          <cell r="D275">
            <v>641050</v>
          </cell>
          <cell r="E275" t="str">
            <v>Bartender</v>
          </cell>
          <cell r="F275" t="str">
            <v>Beverage</v>
          </cell>
          <cell r="G275" t="str">
            <v>Bartender Overtime</v>
          </cell>
        </row>
        <row r="276">
          <cell r="A276" t="str">
            <v>64100R</v>
          </cell>
          <cell r="B276">
            <v>64100</v>
          </cell>
          <cell r="C276" t="str">
            <v>03 Restaurant 3</v>
          </cell>
          <cell r="D276">
            <v>641060</v>
          </cell>
          <cell r="E276" t="str">
            <v>Bartender</v>
          </cell>
          <cell r="F276" t="str">
            <v>Beverage</v>
          </cell>
          <cell r="G276" t="str">
            <v>Bartender Regular Pay</v>
          </cell>
        </row>
        <row r="277">
          <cell r="A277" t="str">
            <v>64100OT</v>
          </cell>
          <cell r="B277">
            <v>64100</v>
          </cell>
          <cell r="C277" t="str">
            <v>03 Restaurant 3</v>
          </cell>
          <cell r="D277">
            <v>641060</v>
          </cell>
          <cell r="E277" t="str">
            <v>Bartender</v>
          </cell>
          <cell r="F277" t="str">
            <v>Beverage</v>
          </cell>
          <cell r="G277" t="str">
            <v>Bartender Overtime</v>
          </cell>
        </row>
        <row r="278">
          <cell r="A278" t="str">
            <v>64120R</v>
          </cell>
          <cell r="B278">
            <v>64120</v>
          </cell>
          <cell r="C278" t="str">
            <v>06 Lounge 1</v>
          </cell>
          <cell r="D278">
            <v>641200</v>
          </cell>
          <cell r="E278" t="str">
            <v>Bar Manager</v>
          </cell>
          <cell r="F278" t="str">
            <v>Beverage</v>
          </cell>
          <cell r="G278" t="str">
            <v>Beverage Manager Regular Pay</v>
          </cell>
        </row>
        <row r="279">
          <cell r="A279" t="str">
            <v>64120OT</v>
          </cell>
          <cell r="B279">
            <v>64120</v>
          </cell>
          <cell r="C279" t="str">
            <v>06 Lounge 1</v>
          </cell>
          <cell r="D279">
            <v>641200</v>
          </cell>
          <cell r="E279" t="str">
            <v>Bar Manager</v>
          </cell>
          <cell r="F279" t="str">
            <v>Beverage</v>
          </cell>
          <cell r="G279" t="str">
            <v>Beverage Manager Overtime</v>
          </cell>
        </row>
        <row r="280">
          <cell r="A280" t="str">
            <v>64120R</v>
          </cell>
          <cell r="B280">
            <v>64120</v>
          </cell>
          <cell r="C280" t="str">
            <v>07 Lounge 2</v>
          </cell>
          <cell r="D280">
            <v>641220</v>
          </cell>
          <cell r="E280" t="str">
            <v>Bar Manager</v>
          </cell>
          <cell r="F280" t="str">
            <v>Beverage</v>
          </cell>
          <cell r="G280" t="str">
            <v>Beverage Manager Regular Pay</v>
          </cell>
        </row>
        <row r="281">
          <cell r="A281" t="str">
            <v>64120OT</v>
          </cell>
          <cell r="B281">
            <v>64120</v>
          </cell>
          <cell r="C281" t="str">
            <v>07 Lounge 2</v>
          </cell>
          <cell r="D281">
            <v>641220</v>
          </cell>
          <cell r="E281" t="str">
            <v>Bar Manager</v>
          </cell>
          <cell r="F281" t="str">
            <v>Beverage</v>
          </cell>
          <cell r="G281" t="str">
            <v>Beverage Manager Overtime</v>
          </cell>
        </row>
        <row r="282">
          <cell r="A282" t="str">
            <v>64120R</v>
          </cell>
          <cell r="B282">
            <v>64120</v>
          </cell>
          <cell r="C282" t="str">
            <v>08 Lounge 3</v>
          </cell>
          <cell r="D282">
            <v>641230</v>
          </cell>
          <cell r="E282" t="str">
            <v>Bar Manager</v>
          </cell>
          <cell r="F282" t="str">
            <v>Beverage</v>
          </cell>
          <cell r="G282" t="str">
            <v>Beverage Manager Regular Pay</v>
          </cell>
        </row>
        <row r="283">
          <cell r="A283" t="str">
            <v>64120OT</v>
          </cell>
          <cell r="B283">
            <v>64120</v>
          </cell>
          <cell r="C283" t="str">
            <v>08 Lounge 3</v>
          </cell>
          <cell r="D283">
            <v>641230</v>
          </cell>
          <cell r="E283" t="str">
            <v>Bar Manager</v>
          </cell>
          <cell r="F283" t="str">
            <v>Beverage</v>
          </cell>
          <cell r="G283" t="str">
            <v>Beverage Manager Overtime</v>
          </cell>
        </row>
        <row r="284">
          <cell r="A284" t="str">
            <v>64120R</v>
          </cell>
          <cell r="B284">
            <v>64120</v>
          </cell>
          <cell r="D284">
            <v>641240</v>
          </cell>
          <cell r="E284" t="str">
            <v>Bar Manager</v>
          </cell>
          <cell r="F284" t="str">
            <v>Beverage</v>
          </cell>
          <cell r="G284" t="str">
            <v>Beverage Manager Regular Pay</v>
          </cell>
        </row>
        <row r="285">
          <cell r="A285" t="str">
            <v>64120OT</v>
          </cell>
          <cell r="B285">
            <v>64120</v>
          </cell>
          <cell r="D285">
            <v>641240</v>
          </cell>
          <cell r="E285" t="str">
            <v>Bar Manager</v>
          </cell>
          <cell r="F285" t="str">
            <v>Beverage</v>
          </cell>
          <cell r="G285" t="str">
            <v>Beverage Manager Overtime</v>
          </cell>
        </row>
        <row r="286">
          <cell r="A286" t="str">
            <v>64120R</v>
          </cell>
          <cell r="B286">
            <v>64120</v>
          </cell>
          <cell r="D286">
            <v>641250</v>
          </cell>
          <cell r="E286" t="str">
            <v>Bar Manager</v>
          </cell>
          <cell r="F286" t="str">
            <v>Beverage</v>
          </cell>
          <cell r="G286" t="str">
            <v>Beverage Manager Regular Pay</v>
          </cell>
        </row>
        <row r="287">
          <cell r="A287" t="str">
            <v>64120OT</v>
          </cell>
          <cell r="B287">
            <v>64120</v>
          </cell>
          <cell r="D287">
            <v>641250</v>
          </cell>
          <cell r="E287" t="str">
            <v>Bar Manager</v>
          </cell>
          <cell r="F287" t="str">
            <v>Beverage</v>
          </cell>
          <cell r="G287" t="str">
            <v>Beverage Manager Overtime</v>
          </cell>
        </row>
        <row r="288">
          <cell r="A288" t="str">
            <v>64150R</v>
          </cell>
          <cell r="B288">
            <v>64150</v>
          </cell>
          <cell r="C288" t="str">
            <v>11 Banquets</v>
          </cell>
          <cell r="D288">
            <v>641500</v>
          </cell>
          <cell r="E288" t="str">
            <v>Banquet Bartender</v>
          </cell>
          <cell r="F288" t="str">
            <v>Banquets</v>
          </cell>
          <cell r="G288" t="str">
            <v>Banquet Bartender Regular Pay</v>
          </cell>
        </row>
        <row r="289">
          <cell r="A289" t="str">
            <v>64150OT</v>
          </cell>
          <cell r="B289">
            <v>64150</v>
          </cell>
          <cell r="C289" t="str">
            <v>11 Banquets</v>
          </cell>
          <cell r="D289">
            <v>641500</v>
          </cell>
          <cell r="E289" t="str">
            <v>Banquet Bartender</v>
          </cell>
          <cell r="F289" t="str">
            <v>Banquets</v>
          </cell>
          <cell r="G289" t="str">
            <v>Banquet Bartender Overtime</v>
          </cell>
        </row>
        <row r="290">
          <cell r="A290" t="str">
            <v>64200R</v>
          </cell>
          <cell r="B290">
            <v>64200</v>
          </cell>
          <cell r="C290" t="str">
            <v>06 Lounge 1</v>
          </cell>
          <cell r="D290">
            <v>642000</v>
          </cell>
          <cell r="E290" t="str">
            <v>Cocktail Server</v>
          </cell>
          <cell r="F290" t="str">
            <v>Beverage</v>
          </cell>
          <cell r="G290" t="str">
            <v>Cocktail Servers Regular Pay</v>
          </cell>
        </row>
        <row r="291">
          <cell r="A291" t="str">
            <v>64200OT</v>
          </cell>
          <cell r="B291">
            <v>64200</v>
          </cell>
          <cell r="C291" t="str">
            <v>06 Lounge 1</v>
          </cell>
          <cell r="D291">
            <v>642000</v>
          </cell>
          <cell r="E291" t="str">
            <v>Cocktail Server</v>
          </cell>
          <cell r="F291" t="str">
            <v>Beverage</v>
          </cell>
          <cell r="G291" t="str">
            <v>Cocktail Servers Overtime</v>
          </cell>
        </row>
        <row r="292">
          <cell r="A292" t="str">
            <v>64200R</v>
          </cell>
          <cell r="B292">
            <v>64200</v>
          </cell>
          <cell r="C292" t="str">
            <v>06 Lounge 1</v>
          </cell>
          <cell r="D292">
            <v>642001</v>
          </cell>
          <cell r="E292" t="str">
            <v>Cocktail Server</v>
          </cell>
          <cell r="F292" t="str">
            <v>Beverage</v>
          </cell>
          <cell r="G292" t="str">
            <v>Cocktail Servers Regular Pay</v>
          </cell>
        </row>
        <row r="293">
          <cell r="A293" t="str">
            <v>64200OT</v>
          </cell>
          <cell r="B293">
            <v>64200</v>
          </cell>
          <cell r="C293" t="str">
            <v>06 Lounge 1</v>
          </cell>
          <cell r="D293">
            <v>642001</v>
          </cell>
          <cell r="E293" t="str">
            <v>Cocktail Server</v>
          </cell>
          <cell r="F293" t="str">
            <v>Beverage</v>
          </cell>
          <cell r="G293" t="str">
            <v>Cocktail Servers Overtime</v>
          </cell>
        </row>
        <row r="294">
          <cell r="A294" t="str">
            <v>64200R</v>
          </cell>
          <cell r="B294">
            <v>64200</v>
          </cell>
          <cell r="C294" t="str">
            <v>07 Lounge 2</v>
          </cell>
          <cell r="D294">
            <v>642020</v>
          </cell>
          <cell r="E294" t="str">
            <v>Cocktail Server</v>
          </cell>
          <cell r="F294" t="str">
            <v>Beverage</v>
          </cell>
          <cell r="G294" t="str">
            <v>Cocktail Servers Regular Pay</v>
          </cell>
        </row>
        <row r="295">
          <cell r="A295" t="str">
            <v>64200OT</v>
          </cell>
          <cell r="B295">
            <v>64200</v>
          </cell>
          <cell r="C295" t="str">
            <v>07 Lounge 2</v>
          </cell>
          <cell r="D295">
            <v>642020</v>
          </cell>
          <cell r="E295" t="str">
            <v>Cocktail Server</v>
          </cell>
          <cell r="F295" t="str">
            <v>Beverage</v>
          </cell>
          <cell r="G295" t="str">
            <v>Cocktail Servers Overtime</v>
          </cell>
        </row>
        <row r="296">
          <cell r="A296" t="str">
            <v>64200R</v>
          </cell>
          <cell r="B296">
            <v>64200</v>
          </cell>
          <cell r="C296" t="str">
            <v>08 Lounge 3</v>
          </cell>
          <cell r="D296">
            <v>642030</v>
          </cell>
          <cell r="E296" t="str">
            <v>Cocktail Server</v>
          </cell>
          <cell r="F296" t="str">
            <v>Beverage</v>
          </cell>
          <cell r="G296" t="str">
            <v>Cocktail Servers Regular Pay</v>
          </cell>
        </row>
        <row r="297">
          <cell r="A297" t="str">
            <v>64200OT</v>
          </cell>
          <cell r="B297">
            <v>64200</v>
          </cell>
          <cell r="C297" t="str">
            <v>08 Lounge 3</v>
          </cell>
          <cell r="D297">
            <v>642030</v>
          </cell>
          <cell r="E297" t="str">
            <v>Cocktail Server</v>
          </cell>
          <cell r="F297" t="str">
            <v>Beverage</v>
          </cell>
          <cell r="G297" t="str">
            <v>Cocktail Servers Overtime</v>
          </cell>
        </row>
        <row r="298">
          <cell r="A298" t="str">
            <v>64200R</v>
          </cell>
          <cell r="B298">
            <v>64200</v>
          </cell>
          <cell r="D298">
            <v>642040</v>
          </cell>
          <cell r="E298" t="str">
            <v>Cocktail Server</v>
          </cell>
          <cell r="F298" t="str">
            <v>Beverage</v>
          </cell>
          <cell r="G298" t="str">
            <v>Cocktail Servers Regular Pay</v>
          </cell>
        </row>
        <row r="299">
          <cell r="A299" t="str">
            <v>64200OT</v>
          </cell>
          <cell r="B299">
            <v>64200</v>
          </cell>
          <cell r="D299">
            <v>642040</v>
          </cell>
          <cell r="E299" t="str">
            <v>Cocktail Server</v>
          </cell>
          <cell r="F299" t="str">
            <v>Beverage</v>
          </cell>
          <cell r="G299" t="str">
            <v>Cocktail Servers Overtime</v>
          </cell>
        </row>
        <row r="300">
          <cell r="A300" t="str">
            <v>64200R</v>
          </cell>
          <cell r="B300">
            <v>64200</v>
          </cell>
          <cell r="D300">
            <v>642050</v>
          </cell>
          <cell r="E300" t="str">
            <v>Cocktail Server</v>
          </cell>
          <cell r="F300" t="str">
            <v>Beverage</v>
          </cell>
          <cell r="G300" t="str">
            <v>Cocktail Servers Regular Pay</v>
          </cell>
        </row>
        <row r="301">
          <cell r="A301" t="str">
            <v>64200OT</v>
          </cell>
          <cell r="B301">
            <v>64200</v>
          </cell>
          <cell r="D301">
            <v>642050</v>
          </cell>
          <cell r="E301" t="str">
            <v>Cocktail Server</v>
          </cell>
          <cell r="F301" t="str">
            <v>Beverage</v>
          </cell>
          <cell r="G301" t="str">
            <v>Cocktail Servers Overtime</v>
          </cell>
        </row>
        <row r="302">
          <cell r="A302" t="str">
            <v>64200R</v>
          </cell>
          <cell r="B302">
            <v>64200</v>
          </cell>
          <cell r="D302">
            <v>643000</v>
          </cell>
          <cell r="E302" t="str">
            <v>Sommelier</v>
          </cell>
          <cell r="F302" t="str">
            <v>Beverage</v>
          </cell>
          <cell r="G302" t="str">
            <v>Cocktail Servers Regular Pay</v>
          </cell>
        </row>
        <row r="303">
          <cell r="A303" t="str">
            <v>64200OT</v>
          </cell>
          <cell r="B303">
            <v>64200</v>
          </cell>
          <cell r="D303">
            <v>643000</v>
          </cell>
          <cell r="E303" t="str">
            <v>Sommelier</v>
          </cell>
          <cell r="F303" t="str">
            <v>Beverage</v>
          </cell>
          <cell r="G303" t="str">
            <v>Cocktail Servers Overtime</v>
          </cell>
        </row>
        <row r="304">
          <cell r="A304" t="str">
            <v>66100R</v>
          </cell>
          <cell r="B304">
            <v>66100</v>
          </cell>
          <cell r="C304" t="str">
            <v>10 Café</v>
          </cell>
          <cell r="D304">
            <v>661000</v>
          </cell>
          <cell r="E304" t="str">
            <v>Cafe Barista</v>
          </cell>
          <cell r="F304" t="str">
            <v>Café</v>
          </cell>
          <cell r="G304" t="str">
            <v>Barista Regular Pay</v>
          </cell>
        </row>
        <row r="305">
          <cell r="A305" t="str">
            <v>66100OT</v>
          </cell>
          <cell r="B305">
            <v>66100</v>
          </cell>
          <cell r="C305" t="str">
            <v>10 Café</v>
          </cell>
          <cell r="D305">
            <v>661000</v>
          </cell>
          <cell r="E305" t="str">
            <v>Cafe Barista</v>
          </cell>
          <cell r="F305" t="str">
            <v>Café</v>
          </cell>
          <cell r="G305" t="str">
            <v>Barista Overtime</v>
          </cell>
        </row>
        <row r="306">
          <cell r="A306" t="str">
            <v>66105R</v>
          </cell>
          <cell r="B306">
            <v>66105</v>
          </cell>
          <cell r="C306" t="str">
            <v>10 Café</v>
          </cell>
          <cell r="D306">
            <v>661050</v>
          </cell>
          <cell r="E306" t="str">
            <v>Cafe Manager</v>
          </cell>
          <cell r="F306" t="str">
            <v>Café</v>
          </cell>
          <cell r="G306" t="str">
            <v>Espresso Manager Regular Pay</v>
          </cell>
        </row>
        <row r="307">
          <cell r="A307" t="str">
            <v>66105OT</v>
          </cell>
          <cell r="B307">
            <v>66105</v>
          </cell>
          <cell r="C307" t="str">
            <v>10 Café</v>
          </cell>
          <cell r="D307">
            <v>661050</v>
          </cell>
          <cell r="E307" t="str">
            <v>Cafe Manager</v>
          </cell>
          <cell r="F307" t="str">
            <v>Café</v>
          </cell>
          <cell r="G307" t="str">
            <v>Espresso Manager Overtime</v>
          </cell>
        </row>
        <row r="308">
          <cell r="A308" t="str">
            <v>68000R</v>
          </cell>
          <cell r="B308">
            <v>68000</v>
          </cell>
          <cell r="D308">
            <v>680000</v>
          </cell>
          <cell r="E308" t="str">
            <v>Marketplace</v>
          </cell>
          <cell r="F308" t="str">
            <v>Tenant</v>
          </cell>
          <cell r="G308" t="str">
            <v>Cashiers - Gift Shop Regular Pay</v>
          </cell>
        </row>
        <row r="309">
          <cell r="A309" t="str">
            <v>68000OT</v>
          </cell>
          <cell r="B309">
            <v>68000</v>
          </cell>
          <cell r="D309">
            <v>680000</v>
          </cell>
          <cell r="E309" t="str">
            <v>Marketplace</v>
          </cell>
          <cell r="F309" t="str">
            <v>Tenant</v>
          </cell>
          <cell r="G309" t="str">
            <v>Cashiers - Gift Shop Overtime</v>
          </cell>
        </row>
        <row r="310">
          <cell r="A310" t="str">
            <v>68100R</v>
          </cell>
          <cell r="B310">
            <v>68100</v>
          </cell>
          <cell r="D310">
            <v>681000</v>
          </cell>
          <cell r="E310" t="str">
            <v>Parking Supervisors</v>
          </cell>
          <cell r="F310" t="str">
            <v>Tenant</v>
          </cell>
          <cell r="G310" t="str">
            <v>Parking Supervisors Regular Pay</v>
          </cell>
        </row>
        <row r="311">
          <cell r="A311" t="str">
            <v>68100OT</v>
          </cell>
          <cell r="B311">
            <v>68100</v>
          </cell>
          <cell r="D311">
            <v>681000</v>
          </cell>
          <cell r="E311" t="str">
            <v>Parking Supervisors</v>
          </cell>
          <cell r="F311" t="str">
            <v>Tenant</v>
          </cell>
          <cell r="G311" t="str">
            <v>Parking Supervisors Overtime</v>
          </cell>
        </row>
        <row r="312">
          <cell r="A312" t="str">
            <v>68101R</v>
          </cell>
          <cell r="B312">
            <v>68101</v>
          </cell>
          <cell r="D312">
            <v>681010</v>
          </cell>
          <cell r="E312" t="str">
            <v>Parking Attendants</v>
          </cell>
          <cell r="F312" t="str">
            <v>Tenant</v>
          </cell>
          <cell r="G312" t="str">
            <v>Parking Attendants Regular Pay</v>
          </cell>
        </row>
        <row r="313">
          <cell r="A313" t="str">
            <v>68101OT</v>
          </cell>
          <cell r="B313">
            <v>68101</v>
          </cell>
          <cell r="D313">
            <v>681010</v>
          </cell>
          <cell r="E313" t="str">
            <v>Parking Attendants</v>
          </cell>
          <cell r="F313" t="str">
            <v>Tenant</v>
          </cell>
          <cell r="G313" t="str">
            <v>Parking Attendants Overtime</v>
          </cell>
        </row>
        <row r="314">
          <cell r="A314" t="str">
            <v>68230R</v>
          </cell>
          <cell r="B314">
            <v>68230</v>
          </cell>
          <cell r="D314">
            <v>682300</v>
          </cell>
          <cell r="E314" t="str">
            <v>Tenant Janitory</v>
          </cell>
          <cell r="F314" t="str">
            <v>Tenant</v>
          </cell>
          <cell r="G314" t="str">
            <v>Janitor - Tenant Regular Pay</v>
          </cell>
        </row>
        <row r="315">
          <cell r="A315" t="str">
            <v>68230OT</v>
          </cell>
          <cell r="B315">
            <v>68230</v>
          </cell>
          <cell r="D315">
            <v>682300</v>
          </cell>
          <cell r="E315" t="str">
            <v>Tenant Janitory</v>
          </cell>
          <cell r="F315" t="str">
            <v>Tenant</v>
          </cell>
          <cell r="G315" t="str">
            <v>Janitor - Tenant Overtime</v>
          </cell>
        </row>
        <row r="316">
          <cell r="A316" t="str">
            <v>68232R</v>
          </cell>
          <cell r="B316">
            <v>68232</v>
          </cell>
          <cell r="D316">
            <v>682320</v>
          </cell>
          <cell r="E316" t="str">
            <v>Tenant Wages</v>
          </cell>
          <cell r="F316" t="str">
            <v>Tenant</v>
          </cell>
          <cell r="G316" t="str">
            <v>On Site Wages Regular Pay</v>
          </cell>
        </row>
        <row r="317">
          <cell r="A317" t="str">
            <v>68232OT</v>
          </cell>
          <cell r="B317">
            <v>68232</v>
          </cell>
          <cell r="D317">
            <v>682320</v>
          </cell>
          <cell r="E317" t="str">
            <v>Tenant Wages</v>
          </cell>
          <cell r="F317" t="str">
            <v>Tenant</v>
          </cell>
          <cell r="G317" t="str">
            <v>On Site Wages Overtime</v>
          </cell>
        </row>
        <row r="318">
          <cell r="A318" t="str">
            <v>69000R</v>
          </cell>
          <cell r="B318">
            <v>69000</v>
          </cell>
          <cell r="D318">
            <v>690000</v>
          </cell>
          <cell r="E318" t="str">
            <v>Spa Management</v>
          </cell>
          <cell r="F318" t="str">
            <v>Recreation/Amenities</v>
          </cell>
          <cell r="G318" t="str">
            <v>Spa Management Regular Pay</v>
          </cell>
        </row>
        <row r="319">
          <cell r="A319" t="str">
            <v>69000OT</v>
          </cell>
          <cell r="B319">
            <v>69000</v>
          </cell>
          <cell r="D319">
            <v>690000</v>
          </cell>
          <cell r="E319" t="str">
            <v>Spa Management</v>
          </cell>
          <cell r="F319" t="str">
            <v>Recreation/Amenities</v>
          </cell>
          <cell r="G319" t="str">
            <v>Spa Management Overtime</v>
          </cell>
        </row>
        <row r="320">
          <cell r="A320" t="str">
            <v>69010R</v>
          </cell>
          <cell r="B320">
            <v>69010</v>
          </cell>
          <cell r="D320">
            <v>690100</v>
          </cell>
          <cell r="E320" t="str">
            <v>Spa Attendant</v>
          </cell>
          <cell r="F320" t="str">
            <v>Recreation/Amenities</v>
          </cell>
          <cell r="G320" t="str">
            <v>Spa Attendant Regular Pay</v>
          </cell>
        </row>
        <row r="321">
          <cell r="A321" t="str">
            <v>69010OT</v>
          </cell>
          <cell r="B321">
            <v>69010</v>
          </cell>
          <cell r="D321">
            <v>690100</v>
          </cell>
          <cell r="E321" t="str">
            <v>Spa Attendant</v>
          </cell>
          <cell r="F321" t="str">
            <v>Recreation/Amenities</v>
          </cell>
          <cell r="G321" t="str">
            <v>Spa Attendant Overtime</v>
          </cell>
        </row>
        <row r="322">
          <cell r="A322" t="str">
            <v>69010R</v>
          </cell>
          <cell r="B322">
            <v>69010</v>
          </cell>
          <cell r="D322">
            <v>690101</v>
          </cell>
          <cell r="E322" t="str">
            <v xml:space="preserve">Spa Attendant </v>
          </cell>
          <cell r="F322" t="str">
            <v>Recreation/Amenities</v>
          </cell>
          <cell r="G322" t="str">
            <v>Spa Attendant Regular Pay</v>
          </cell>
        </row>
        <row r="323">
          <cell r="A323" t="str">
            <v>69010OT</v>
          </cell>
          <cell r="B323">
            <v>69010</v>
          </cell>
          <cell r="D323">
            <v>690101</v>
          </cell>
          <cell r="E323" t="str">
            <v xml:space="preserve">Spa Attendant </v>
          </cell>
          <cell r="F323" t="str">
            <v>Recreation/Amenities</v>
          </cell>
          <cell r="G323" t="str">
            <v>Spa Attendant Overtime</v>
          </cell>
        </row>
        <row r="324">
          <cell r="A324" t="str">
            <v>69010R</v>
          </cell>
          <cell r="B324">
            <v>69010</v>
          </cell>
          <cell r="D324">
            <v>690102</v>
          </cell>
          <cell r="E324" t="str">
            <v>Spa Attendant</v>
          </cell>
          <cell r="F324" t="str">
            <v>Recreation/Amenities</v>
          </cell>
          <cell r="G324" t="str">
            <v>Spa Attendant Regular Pay</v>
          </cell>
        </row>
        <row r="325">
          <cell r="A325" t="str">
            <v>69010OT</v>
          </cell>
          <cell r="B325">
            <v>69010</v>
          </cell>
          <cell r="D325">
            <v>690102</v>
          </cell>
          <cell r="E325" t="str">
            <v>Spa Attendant</v>
          </cell>
          <cell r="F325" t="str">
            <v>Recreation/Amenities</v>
          </cell>
          <cell r="G325" t="str">
            <v>Spa Attendant Overtime</v>
          </cell>
        </row>
        <row r="326">
          <cell r="A326" t="str">
            <v>69010R</v>
          </cell>
          <cell r="B326">
            <v>69010</v>
          </cell>
          <cell r="D326">
            <v>690103</v>
          </cell>
          <cell r="E326" t="str">
            <v>Spa Attendant</v>
          </cell>
          <cell r="F326" t="str">
            <v>Recreation/Amenities</v>
          </cell>
          <cell r="G326" t="str">
            <v>Spa Attendant Regular Pay</v>
          </cell>
        </row>
        <row r="327">
          <cell r="A327" t="str">
            <v>69010OT</v>
          </cell>
          <cell r="B327">
            <v>69010</v>
          </cell>
          <cell r="D327">
            <v>690103</v>
          </cell>
          <cell r="E327" t="str">
            <v>Spa Attendant</v>
          </cell>
          <cell r="F327" t="str">
            <v>Recreation/Amenities</v>
          </cell>
          <cell r="G327" t="str">
            <v>Spa Attendant Overtime</v>
          </cell>
        </row>
        <row r="328">
          <cell r="A328" t="str">
            <v>69010R</v>
          </cell>
          <cell r="B328">
            <v>69010</v>
          </cell>
          <cell r="D328">
            <v>690104</v>
          </cell>
          <cell r="E328" t="str">
            <v>Spa Attendant</v>
          </cell>
          <cell r="F328" t="str">
            <v>Recreation/Amenities</v>
          </cell>
          <cell r="G328" t="str">
            <v>Spa Attendant Regular Pay</v>
          </cell>
        </row>
        <row r="329">
          <cell r="A329" t="str">
            <v>69010OT</v>
          </cell>
          <cell r="B329">
            <v>69010</v>
          </cell>
          <cell r="D329">
            <v>690104</v>
          </cell>
          <cell r="E329" t="str">
            <v>Spa Attendant</v>
          </cell>
          <cell r="F329" t="str">
            <v>Recreation/Amenities</v>
          </cell>
          <cell r="G329" t="str">
            <v>Spa Attendant Overtime</v>
          </cell>
        </row>
        <row r="330">
          <cell r="A330" t="str">
            <v>69020R</v>
          </cell>
          <cell r="B330">
            <v>69020</v>
          </cell>
          <cell r="D330">
            <v>690200</v>
          </cell>
          <cell r="E330" t="str">
            <v>Spa Concierge</v>
          </cell>
          <cell r="F330" t="str">
            <v>Recreation/Amenities</v>
          </cell>
          <cell r="G330" t="str">
            <v>Concierge - Spa Regular Pay</v>
          </cell>
        </row>
        <row r="331">
          <cell r="A331" t="str">
            <v>69020OT</v>
          </cell>
          <cell r="B331">
            <v>69020</v>
          </cell>
          <cell r="D331">
            <v>690200</v>
          </cell>
          <cell r="E331" t="str">
            <v>Spa Concierge</v>
          </cell>
          <cell r="F331" t="str">
            <v>Recreation/Amenities</v>
          </cell>
          <cell r="G331" t="str">
            <v>Concierge - Spa Overtime</v>
          </cell>
        </row>
        <row r="332">
          <cell r="A332" t="str">
            <v>69030R</v>
          </cell>
          <cell r="B332">
            <v>69030</v>
          </cell>
          <cell r="D332">
            <v>690300</v>
          </cell>
          <cell r="E332" t="str">
            <v>Spa Front Desk</v>
          </cell>
          <cell r="F332" t="str">
            <v>Recreation/Amenities</v>
          </cell>
          <cell r="G332" t="str">
            <v>Front Desk - Spa Regular Pay</v>
          </cell>
        </row>
        <row r="333">
          <cell r="A333" t="str">
            <v>69030OT</v>
          </cell>
          <cell r="B333">
            <v>69030</v>
          </cell>
          <cell r="D333">
            <v>690300</v>
          </cell>
          <cell r="E333" t="str">
            <v>Spa Front Desk</v>
          </cell>
          <cell r="F333" t="str">
            <v>Recreation/Amenities</v>
          </cell>
          <cell r="G333" t="str">
            <v>Front Desk - Spa Overtime</v>
          </cell>
        </row>
        <row r="334">
          <cell r="A334" t="str">
            <v>69040R</v>
          </cell>
          <cell r="B334">
            <v>69040</v>
          </cell>
          <cell r="D334">
            <v>690400</v>
          </cell>
          <cell r="E334" t="str">
            <v>Spa Fitness</v>
          </cell>
          <cell r="F334" t="str">
            <v>Recreation/Amenities</v>
          </cell>
          <cell r="G334" t="str">
            <v>Fitness - Spa Regular Pay</v>
          </cell>
        </row>
        <row r="335">
          <cell r="A335" t="str">
            <v>69040OT</v>
          </cell>
          <cell r="B335">
            <v>69040</v>
          </cell>
          <cell r="D335">
            <v>690400</v>
          </cell>
          <cell r="E335" t="str">
            <v>Spa Fitness</v>
          </cell>
          <cell r="F335" t="str">
            <v>Recreation/Amenities</v>
          </cell>
          <cell r="G335" t="str">
            <v>Fitness - Spa Overtime</v>
          </cell>
        </row>
        <row r="336">
          <cell r="A336" t="str">
            <v>69050R</v>
          </cell>
          <cell r="B336">
            <v>69050</v>
          </cell>
          <cell r="D336">
            <v>690500</v>
          </cell>
          <cell r="E336" t="str">
            <v>Spa Therapists/Technicians</v>
          </cell>
          <cell r="F336" t="str">
            <v>Recreation/Amenities</v>
          </cell>
          <cell r="G336" t="str">
            <v>Therapists/Technicians - Spa Regular Pay</v>
          </cell>
        </row>
        <row r="337">
          <cell r="A337" t="str">
            <v>69050OT</v>
          </cell>
          <cell r="B337">
            <v>69050</v>
          </cell>
          <cell r="D337">
            <v>690500</v>
          </cell>
          <cell r="E337" t="str">
            <v>Spa Therapists/Technicians</v>
          </cell>
          <cell r="F337" t="str">
            <v>Recreation/Amenities</v>
          </cell>
          <cell r="G337" t="str">
            <v>Therapists/Technicians - Spa Overtime</v>
          </cell>
        </row>
        <row r="338">
          <cell r="A338" t="str">
            <v>69400R</v>
          </cell>
          <cell r="B338">
            <v>69400</v>
          </cell>
          <cell r="D338">
            <v>694000</v>
          </cell>
          <cell r="E338" t="str">
            <v>Mini Bar Manager</v>
          </cell>
          <cell r="F338" t="str">
            <v>Recreation/Amenities</v>
          </cell>
          <cell r="G338" t="str">
            <v>Mini Bar Manager Regular Pay</v>
          </cell>
        </row>
        <row r="339">
          <cell r="A339" t="str">
            <v>69400OT</v>
          </cell>
          <cell r="B339">
            <v>69400</v>
          </cell>
          <cell r="D339">
            <v>694000</v>
          </cell>
          <cell r="E339" t="str">
            <v>Mini Bar Manager</v>
          </cell>
          <cell r="F339" t="str">
            <v>Recreation/Amenities</v>
          </cell>
          <cell r="G339" t="str">
            <v>Mini Bar Manager Overtime Pay</v>
          </cell>
        </row>
        <row r="340">
          <cell r="A340" t="str">
            <v>69401R</v>
          </cell>
          <cell r="B340">
            <v>69401</v>
          </cell>
          <cell r="D340">
            <v>694010</v>
          </cell>
          <cell r="E340" t="str">
            <v>Mini Bar Attendant</v>
          </cell>
          <cell r="F340" t="str">
            <v>Recreation/Amenities</v>
          </cell>
          <cell r="G340" t="str">
            <v>Mini Bar Attendant Regular Pay</v>
          </cell>
        </row>
        <row r="341">
          <cell r="A341" t="str">
            <v>69401OT</v>
          </cell>
          <cell r="B341">
            <v>69401</v>
          </cell>
          <cell r="D341">
            <v>694010</v>
          </cell>
          <cell r="E341" t="str">
            <v>Mini Bar Attendant</v>
          </cell>
          <cell r="F341" t="str">
            <v>Recreation/Amenities</v>
          </cell>
          <cell r="G341" t="str">
            <v>Mini Bar Attendant Overtime Pay</v>
          </cell>
        </row>
        <row r="342">
          <cell r="A342" t="str">
            <v>69500R</v>
          </cell>
          <cell r="B342">
            <v>69500</v>
          </cell>
          <cell r="D342">
            <v>695000</v>
          </cell>
          <cell r="E342" t="str">
            <v>Recreation Manager</v>
          </cell>
          <cell r="F342" t="str">
            <v>Recreation/Amenities</v>
          </cell>
          <cell r="G342" t="str">
            <v>Recreation - Manager Regular Pay</v>
          </cell>
        </row>
        <row r="343">
          <cell r="A343" t="str">
            <v>69500OT</v>
          </cell>
          <cell r="B343">
            <v>69500</v>
          </cell>
          <cell r="D343">
            <v>695000</v>
          </cell>
          <cell r="E343" t="str">
            <v>Recreation Manager</v>
          </cell>
          <cell r="F343" t="str">
            <v>Recreation/Amenities</v>
          </cell>
          <cell r="G343" t="str">
            <v>Recreation - Manager Overtime</v>
          </cell>
        </row>
        <row r="344">
          <cell r="A344" t="str">
            <v>69505R</v>
          </cell>
          <cell r="B344">
            <v>69505</v>
          </cell>
          <cell r="D344">
            <v>695050</v>
          </cell>
          <cell r="E344" t="str">
            <v>Recreation Supervisor</v>
          </cell>
          <cell r="F344" t="str">
            <v>Recreation/Amenities</v>
          </cell>
          <cell r="G344" t="str">
            <v>Recreation - Supervisor Regular Pay</v>
          </cell>
        </row>
        <row r="345">
          <cell r="A345" t="str">
            <v>69505OT</v>
          </cell>
          <cell r="B345">
            <v>69505</v>
          </cell>
          <cell r="D345">
            <v>695050</v>
          </cell>
          <cell r="E345" t="str">
            <v>Recreation Supervisor</v>
          </cell>
          <cell r="F345" t="str">
            <v>Recreation/Amenities</v>
          </cell>
          <cell r="G345" t="str">
            <v>Recreation - Supervisor Overtime</v>
          </cell>
        </row>
        <row r="346">
          <cell r="A346" t="str">
            <v>69510R</v>
          </cell>
          <cell r="B346">
            <v>69510</v>
          </cell>
          <cell r="D346">
            <v>695100</v>
          </cell>
          <cell r="E346" t="str">
            <v>Recreation Admission Atendant</v>
          </cell>
          <cell r="F346" t="str">
            <v>Recreation/Amenities</v>
          </cell>
          <cell r="G346" t="str">
            <v>Recreation - Attendant Regular Pay</v>
          </cell>
        </row>
        <row r="347">
          <cell r="A347" t="str">
            <v>69510OT</v>
          </cell>
          <cell r="B347">
            <v>69510</v>
          </cell>
          <cell r="D347">
            <v>695100</v>
          </cell>
          <cell r="E347" t="str">
            <v>Recreation Admission Atendant</v>
          </cell>
          <cell r="F347" t="str">
            <v>Recreation/Amenities</v>
          </cell>
          <cell r="G347" t="str">
            <v>Recreation - Attendant Overtime</v>
          </cell>
        </row>
        <row r="348">
          <cell r="A348" t="str">
            <v>69515R</v>
          </cell>
          <cell r="B348">
            <v>69515</v>
          </cell>
          <cell r="D348">
            <v>695150</v>
          </cell>
          <cell r="E348" t="str">
            <v>Recreation Steward</v>
          </cell>
          <cell r="F348" t="str">
            <v>Recreation/Amenities</v>
          </cell>
          <cell r="G348" t="str">
            <v>Recreation - Steward Regular Pay</v>
          </cell>
        </row>
        <row r="349">
          <cell r="A349" t="str">
            <v>69515OT</v>
          </cell>
          <cell r="B349">
            <v>69515</v>
          </cell>
          <cell r="D349">
            <v>695150</v>
          </cell>
          <cell r="E349" t="str">
            <v>Recreation Steward</v>
          </cell>
          <cell r="F349" t="str">
            <v>Recreation/Amenities</v>
          </cell>
          <cell r="G349" t="str">
            <v>Recreation - Steward Overtime</v>
          </cell>
        </row>
        <row r="350">
          <cell r="A350" t="str">
            <v>69520R</v>
          </cell>
          <cell r="B350">
            <v>69520</v>
          </cell>
          <cell r="D350">
            <v>695200</v>
          </cell>
          <cell r="E350" t="str">
            <v>Pool Attendant</v>
          </cell>
          <cell r="F350" t="str">
            <v>Recreation/Amenities</v>
          </cell>
          <cell r="G350" t="str">
            <v>Pool Attendant Regular Pay - Recreation</v>
          </cell>
        </row>
        <row r="351">
          <cell r="A351" t="str">
            <v>69520OT</v>
          </cell>
          <cell r="B351">
            <v>69520</v>
          </cell>
          <cell r="D351">
            <v>695200</v>
          </cell>
          <cell r="E351" t="str">
            <v>Pool Attendant</v>
          </cell>
          <cell r="F351" t="str">
            <v>Recreation/Amenities</v>
          </cell>
          <cell r="G351" t="str">
            <v>Pool Attendant Overtime - Recreation</v>
          </cell>
        </row>
        <row r="352">
          <cell r="A352" t="str">
            <v>69525R</v>
          </cell>
          <cell r="B352">
            <v>69525</v>
          </cell>
          <cell r="D352">
            <v>695250</v>
          </cell>
          <cell r="E352" t="str">
            <v>Life Guard</v>
          </cell>
          <cell r="F352" t="str">
            <v>Recreation/Amenities</v>
          </cell>
          <cell r="G352" t="str">
            <v>Recreation - Life Guard Regular Pay</v>
          </cell>
        </row>
        <row r="353">
          <cell r="A353" t="str">
            <v>69525OT</v>
          </cell>
          <cell r="B353">
            <v>69525</v>
          </cell>
          <cell r="D353">
            <v>695250</v>
          </cell>
          <cell r="E353" t="str">
            <v>Life Guard</v>
          </cell>
          <cell r="F353" t="str">
            <v>Recreation/Amenities</v>
          </cell>
          <cell r="G353" t="str">
            <v>Recreation - Life Guard Overtime</v>
          </cell>
        </row>
        <row r="354">
          <cell r="A354" t="str">
            <v>69530R</v>
          </cell>
          <cell r="B354">
            <v>69530</v>
          </cell>
          <cell r="D354">
            <v>695300</v>
          </cell>
          <cell r="E354" t="str">
            <v>Recreation Training</v>
          </cell>
          <cell r="F354" t="str">
            <v>Recreation/Amenities</v>
          </cell>
          <cell r="G354" t="str">
            <v>Recreation - Training Payroll Regular Pay</v>
          </cell>
        </row>
        <row r="355">
          <cell r="A355" t="str">
            <v>69530OT</v>
          </cell>
          <cell r="B355">
            <v>69530</v>
          </cell>
          <cell r="D355">
            <v>695300</v>
          </cell>
          <cell r="E355" t="str">
            <v>Recreation Training</v>
          </cell>
          <cell r="F355" t="str">
            <v>Recreation/Amenities</v>
          </cell>
          <cell r="G355" t="str">
            <v>Recreation - Training Payroll Overtime</v>
          </cell>
        </row>
        <row r="356">
          <cell r="A356" t="str">
            <v>71000R</v>
          </cell>
          <cell r="B356">
            <v>71000</v>
          </cell>
          <cell r="D356">
            <v>710000</v>
          </cell>
          <cell r="E356" t="str">
            <v>IT Manager</v>
          </cell>
          <cell r="F356" t="str">
            <v>IT/TELCOM</v>
          </cell>
          <cell r="G356" t="str">
            <v>IT Manager Regular Pay</v>
          </cell>
        </row>
        <row r="357">
          <cell r="A357" t="str">
            <v>71000OT</v>
          </cell>
          <cell r="B357">
            <v>71000</v>
          </cell>
          <cell r="D357">
            <v>710000</v>
          </cell>
          <cell r="E357" t="str">
            <v>IT Manager</v>
          </cell>
          <cell r="F357" t="str">
            <v>IT/TELCOM</v>
          </cell>
          <cell r="G357" t="str">
            <v>IT Manager Overtime</v>
          </cell>
        </row>
        <row r="358">
          <cell r="A358" t="str">
            <v>71100R</v>
          </cell>
          <cell r="B358">
            <v>71100</v>
          </cell>
          <cell r="D358">
            <v>711000</v>
          </cell>
          <cell r="E358" t="str">
            <v>Information Technology</v>
          </cell>
          <cell r="F358" t="str">
            <v>IT/TELCOM</v>
          </cell>
          <cell r="G358" t="str">
            <v>Information Technology Regular Pay</v>
          </cell>
        </row>
        <row r="359">
          <cell r="A359" t="str">
            <v>71100OT</v>
          </cell>
          <cell r="B359">
            <v>71100</v>
          </cell>
          <cell r="D359">
            <v>711000</v>
          </cell>
          <cell r="E359" t="str">
            <v>Information Technology</v>
          </cell>
          <cell r="F359" t="str">
            <v>IT/TELCOM</v>
          </cell>
          <cell r="G359" t="str">
            <v>Information Technology Overtime</v>
          </cell>
        </row>
        <row r="360">
          <cell r="A360" t="str">
            <v>71150R</v>
          </cell>
          <cell r="B360">
            <v>71150</v>
          </cell>
          <cell r="D360">
            <v>711500</v>
          </cell>
          <cell r="E360" t="str">
            <v>Telecommunications</v>
          </cell>
          <cell r="F360" t="str">
            <v>IT/TELCOM</v>
          </cell>
          <cell r="G360" t="str">
            <v>Telecommunications Regular Pay</v>
          </cell>
        </row>
        <row r="361">
          <cell r="A361" t="str">
            <v>71150OT</v>
          </cell>
          <cell r="B361">
            <v>71150</v>
          </cell>
          <cell r="D361">
            <v>711500</v>
          </cell>
          <cell r="E361" t="str">
            <v>Telecommunications</v>
          </cell>
          <cell r="F361" t="str">
            <v>IT/TELCOM</v>
          </cell>
          <cell r="G361" t="str">
            <v>Telecommunications Overtime</v>
          </cell>
        </row>
        <row r="362">
          <cell r="A362" t="str">
            <v>73000R</v>
          </cell>
          <cell r="B362">
            <v>73000</v>
          </cell>
          <cell r="D362">
            <v>730000</v>
          </cell>
          <cell r="E362" t="str">
            <v>General Manager</v>
          </cell>
          <cell r="F362" t="str">
            <v>A&amp;G</v>
          </cell>
          <cell r="G362" t="str">
            <v>General Manager Regular Pay</v>
          </cell>
        </row>
        <row r="363">
          <cell r="A363" t="str">
            <v>73000OT</v>
          </cell>
          <cell r="B363">
            <v>73000</v>
          </cell>
          <cell r="D363">
            <v>730000</v>
          </cell>
          <cell r="E363" t="str">
            <v>General Manager</v>
          </cell>
          <cell r="F363" t="str">
            <v>A&amp;G</v>
          </cell>
          <cell r="G363" t="str">
            <v>General Manager Overtime</v>
          </cell>
        </row>
        <row r="364">
          <cell r="A364" t="str">
            <v>73100R</v>
          </cell>
          <cell r="B364">
            <v>73100</v>
          </cell>
          <cell r="D364">
            <v>731000</v>
          </cell>
          <cell r="E364" t="str">
            <v>Asst. General Manager - A&amp;G</v>
          </cell>
          <cell r="F364" t="str">
            <v>A&amp;G</v>
          </cell>
          <cell r="G364" t="str">
            <v>Assistant General Manager Regular Pay</v>
          </cell>
        </row>
        <row r="365">
          <cell r="A365" t="str">
            <v>73100OT</v>
          </cell>
          <cell r="B365">
            <v>73100</v>
          </cell>
          <cell r="D365">
            <v>731000</v>
          </cell>
          <cell r="E365" t="str">
            <v>Asst. General Manager - A&amp;G</v>
          </cell>
          <cell r="F365" t="str">
            <v>A&amp;G</v>
          </cell>
          <cell r="G365" t="str">
            <v>Assistant General Manager Overtime</v>
          </cell>
        </row>
        <row r="366">
          <cell r="A366" t="str">
            <v>73300R</v>
          </cell>
          <cell r="B366">
            <v>73300</v>
          </cell>
          <cell r="D366">
            <v>733000</v>
          </cell>
          <cell r="E366" t="str">
            <v>General Administrative</v>
          </cell>
          <cell r="F366" t="str">
            <v>A&amp;G</v>
          </cell>
          <cell r="G366" t="str">
            <v>Administrative Assistant Regular Pay</v>
          </cell>
        </row>
        <row r="367">
          <cell r="A367" t="str">
            <v>73300OT</v>
          </cell>
          <cell r="B367">
            <v>73300</v>
          </cell>
          <cell r="D367">
            <v>733000</v>
          </cell>
          <cell r="E367" t="str">
            <v>General Administrative</v>
          </cell>
          <cell r="F367" t="str">
            <v>A&amp;G</v>
          </cell>
          <cell r="G367" t="str">
            <v>Administrative Assistant Overtime</v>
          </cell>
        </row>
        <row r="368">
          <cell r="A368" t="str">
            <v>73400R</v>
          </cell>
          <cell r="B368">
            <v>73400</v>
          </cell>
          <cell r="D368">
            <v>734000</v>
          </cell>
          <cell r="E368" t="str">
            <v>Human Resource Manager</v>
          </cell>
          <cell r="F368" t="str">
            <v>A&amp;G</v>
          </cell>
          <cell r="G368" t="str">
            <v>Human Resource Manager Regular Pay</v>
          </cell>
        </row>
        <row r="369">
          <cell r="A369" t="str">
            <v>73400OT</v>
          </cell>
          <cell r="B369">
            <v>73400</v>
          </cell>
          <cell r="D369">
            <v>734000</v>
          </cell>
          <cell r="E369" t="str">
            <v>Human Resource Manager</v>
          </cell>
          <cell r="F369" t="str">
            <v>A&amp;G</v>
          </cell>
          <cell r="G369" t="str">
            <v>Human Resource Manager Overtime</v>
          </cell>
        </row>
        <row r="370">
          <cell r="A370" t="str">
            <v>73500R</v>
          </cell>
          <cell r="B370">
            <v>73500</v>
          </cell>
          <cell r="D370">
            <v>735000</v>
          </cell>
          <cell r="E370" t="str">
            <v>Accounting</v>
          </cell>
          <cell r="F370" t="str">
            <v>A&amp;G</v>
          </cell>
          <cell r="G370" t="str">
            <v>Accounting Regular Pay</v>
          </cell>
        </row>
        <row r="371">
          <cell r="A371" t="str">
            <v>73500OT</v>
          </cell>
          <cell r="B371">
            <v>73500</v>
          </cell>
          <cell r="D371">
            <v>735000</v>
          </cell>
          <cell r="E371" t="str">
            <v>Accounting</v>
          </cell>
          <cell r="F371" t="str">
            <v>A&amp;G</v>
          </cell>
          <cell r="G371" t="str">
            <v>Accounting Overtime</v>
          </cell>
        </row>
        <row r="372">
          <cell r="A372" t="str">
            <v>73510R</v>
          </cell>
          <cell r="B372">
            <v>73510</v>
          </cell>
          <cell r="D372">
            <v>735100</v>
          </cell>
          <cell r="E372" t="str">
            <v>Accounting Administrative</v>
          </cell>
          <cell r="F372" t="str">
            <v>A&amp;G</v>
          </cell>
          <cell r="G372" t="str">
            <v>Accounting - Hourly Regular Pay</v>
          </cell>
        </row>
        <row r="373">
          <cell r="A373" t="str">
            <v>73510OT</v>
          </cell>
          <cell r="B373">
            <v>73510</v>
          </cell>
          <cell r="D373">
            <v>735100</v>
          </cell>
          <cell r="E373" t="str">
            <v>Accounting Administrative</v>
          </cell>
          <cell r="F373" t="str">
            <v>A&amp;G</v>
          </cell>
          <cell r="G373" t="str">
            <v>Accounting - Hourly Overtime</v>
          </cell>
        </row>
        <row r="374">
          <cell r="A374" t="str">
            <v>73600R</v>
          </cell>
          <cell r="B374">
            <v>73600</v>
          </cell>
          <cell r="D374">
            <v>736000</v>
          </cell>
          <cell r="E374" t="str">
            <v>Safety &amp; Loss Prevention</v>
          </cell>
          <cell r="F374" t="str">
            <v>A&amp;G</v>
          </cell>
          <cell r="G374" t="str">
            <v>Security Regular Pay</v>
          </cell>
        </row>
        <row r="375">
          <cell r="A375" t="str">
            <v>73600OT</v>
          </cell>
          <cell r="B375">
            <v>73600</v>
          </cell>
          <cell r="D375">
            <v>736000</v>
          </cell>
          <cell r="E375" t="str">
            <v>Safety &amp; Loss Prevention</v>
          </cell>
          <cell r="F375" t="str">
            <v>A&amp;G</v>
          </cell>
          <cell r="G375" t="str">
            <v>Security Overtime</v>
          </cell>
        </row>
        <row r="376">
          <cell r="A376" t="str">
            <v>73600R</v>
          </cell>
          <cell r="B376">
            <v>73600</v>
          </cell>
          <cell r="D376">
            <v>736001</v>
          </cell>
          <cell r="E376" t="str">
            <v>Safety &amp; Loss Prevention Overnight</v>
          </cell>
          <cell r="F376" t="str">
            <v>A&amp;G</v>
          </cell>
          <cell r="G376" t="str">
            <v>Security Regular Pay</v>
          </cell>
        </row>
        <row r="377">
          <cell r="A377" t="str">
            <v>73600OT</v>
          </cell>
          <cell r="B377">
            <v>73600</v>
          </cell>
          <cell r="D377">
            <v>736001</v>
          </cell>
          <cell r="E377" t="str">
            <v>Safety &amp; Loss Prevention Overnight</v>
          </cell>
          <cell r="F377" t="str">
            <v>A&amp;G</v>
          </cell>
          <cell r="G377" t="str">
            <v>Security Overtime</v>
          </cell>
        </row>
        <row r="378">
          <cell r="A378" t="str">
            <v>73700R</v>
          </cell>
          <cell r="B378">
            <v>73700</v>
          </cell>
          <cell r="D378">
            <v>737000</v>
          </cell>
          <cell r="E378" t="str">
            <v>Receiving</v>
          </cell>
          <cell r="F378" t="str">
            <v>A&amp;G</v>
          </cell>
          <cell r="G378" t="str">
            <v>Receiving Regular Pay</v>
          </cell>
        </row>
        <row r="379">
          <cell r="A379" t="str">
            <v>73700OT</v>
          </cell>
          <cell r="B379">
            <v>73700</v>
          </cell>
          <cell r="D379">
            <v>737000</v>
          </cell>
          <cell r="E379" t="str">
            <v>Receiving</v>
          </cell>
          <cell r="F379" t="str">
            <v>A&amp;G</v>
          </cell>
          <cell r="G379" t="str">
            <v>Receiving Overtime</v>
          </cell>
        </row>
        <row r="380">
          <cell r="A380" t="str">
            <v>75010R</v>
          </cell>
          <cell r="B380">
            <v>75010</v>
          </cell>
          <cell r="D380">
            <v>750100</v>
          </cell>
          <cell r="E380" t="str">
            <v>Sales and Marketing</v>
          </cell>
          <cell r="F380" t="str">
            <v>Sales</v>
          </cell>
          <cell r="G380" t="str">
            <v>Director of Sales Regular Pay</v>
          </cell>
        </row>
        <row r="381">
          <cell r="A381" t="str">
            <v>75010OT</v>
          </cell>
          <cell r="B381">
            <v>75010</v>
          </cell>
          <cell r="D381">
            <v>750100</v>
          </cell>
          <cell r="E381" t="str">
            <v>Sales and Marketing</v>
          </cell>
          <cell r="F381" t="str">
            <v>Sales</v>
          </cell>
          <cell r="G381" t="str">
            <v>Director of Sales Overtime</v>
          </cell>
        </row>
        <row r="382">
          <cell r="A382" t="str">
            <v>75020R</v>
          </cell>
          <cell r="B382">
            <v>75020</v>
          </cell>
          <cell r="D382">
            <v>750200</v>
          </cell>
          <cell r="E382" t="str">
            <v>Sales Manager</v>
          </cell>
          <cell r="F382" t="str">
            <v>Sales</v>
          </cell>
          <cell r="G382" t="str">
            <v>Sales Manager Regular Pay</v>
          </cell>
        </row>
        <row r="383">
          <cell r="A383" t="str">
            <v>75020OT</v>
          </cell>
          <cell r="B383">
            <v>75020</v>
          </cell>
          <cell r="D383">
            <v>750200</v>
          </cell>
          <cell r="E383" t="str">
            <v>Sales Manager</v>
          </cell>
          <cell r="F383" t="str">
            <v>Sales</v>
          </cell>
          <cell r="G383" t="str">
            <v>Sales Manager Overtime</v>
          </cell>
        </row>
        <row r="384">
          <cell r="A384" t="str">
            <v>75030R</v>
          </cell>
          <cell r="B384">
            <v>75030</v>
          </cell>
          <cell r="D384">
            <v>750300</v>
          </cell>
          <cell r="E384" t="str">
            <v>Revenue Manager</v>
          </cell>
          <cell r="F384" t="str">
            <v>Sales</v>
          </cell>
          <cell r="G384" t="str">
            <v>Revenue Manager Regular Pay</v>
          </cell>
        </row>
        <row r="385">
          <cell r="A385" t="str">
            <v>75030OT</v>
          </cell>
          <cell r="B385">
            <v>75030</v>
          </cell>
          <cell r="D385">
            <v>750300</v>
          </cell>
          <cell r="E385" t="str">
            <v>Revenue Manager</v>
          </cell>
          <cell r="F385" t="str">
            <v>Sales</v>
          </cell>
          <cell r="G385" t="str">
            <v>Revenue Manager Overtime</v>
          </cell>
        </row>
        <row r="386">
          <cell r="A386" t="str">
            <v>75050R</v>
          </cell>
          <cell r="B386">
            <v>75050</v>
          </cell>
          <cell r="D386">
            <v>750500</v>
          </cell>
          <cell r="E386" t="str">
            <v>Outside Sales Person</v>
          </cell>
          <cell r="F386" t="str">
            <v>Sales</v>
          </cell>
          <cell r="G386" t="str">
            <v>Outside Sales Person Regular Pay</v>
          </cell>
        </row>
        <row r="387">
          <cell r="A387" t="str">
            <v>75050OT</v>
          </cell>
          <cell r="B387">
            <v>75050</v>
          </cell>
          <cell r="D387">
            <v>750500</v>
          </cell>
          <cell r="E387" t="str">
            <v>Outside Sales Person</v>
          </cell>
          <cell r="F387" t="str">
            <v>Sales</v>
          </cell>
          <cell r="G387" t="str">
            <v>Outside Sales Person Overtime</v>
          </cell>
        </row>
        <row r="388">
          <cell r="A388" t="str">
            <v>75100R</v>
          </cell>
          <cell r="B388">
            <v>75100</v>
          </cell>
          <cell r="D388">
            <v>751000</v>
          </cell>
          <cell r="E388" t="str">
            <v>Outside Catering Sales</v>
          </cell>
          <cell r="F388" t="str">
            <v>Sales</v>
          </cell>
          <cell r="G388" t="str">
            <v>Outside Catering Sales Regular Pay</v>
          </cell>
        </row>
        <row r="389">
          <cell r="A389" t="str">
            <v>75100OT</v>
          </cell>
          <cell r="B389">
            <v>75100</v>
          </cell>
          <cell r="D389">
            <v>751000</v>
          </cell>
          <cell r="E389" t="str">
            <v>Outside Catering Sales</v>
          </cell>
          <cell r="F389" t="str">
            <v>Sales</v>
          </cell>
          <cell r="G389" t="str">
            <v>Outside Catering Sales Overtime</v>
          </cell>
        </row>
        <row r="390">
          <cell r="A390" t="str">
            <v>75200R</v>
          </cell>
          <cell r="B390">
            <v>75200</v>
          </cell>
          <cell r="D390">
            <v>752000</v>
          </cell>
          <cell r="E390" t="str">
            <v>Director of Catering</v>
          </cell>
          <cell r="F390" t="str">
            <v>Sales</v>
          </cell>
          <cell r="G390" t="str">
            <v>Director of Catering Regular Pay</v>
          </cell>
        </row>
        <row r="391">
          <cell r="A391" t="str">
            <v>75200OT</v>
          </cell>
          <cell r="B391">
            <v>75200</v>
          </cell>
          <cell r="D391">
            <v>752000</v>
          </cell>
          <cell r="E391" t="str">
            <v>Director of Catering</v>
          </cell>
          <cell r="F391" t="str">
            <v>Sales</v>
          </cell>
          <cell r="G391" t="str">
            <v>Director of Catering Overtime</v>
          </cell>
        </row>
        <row r="392">
          <cell r="A392" t="str">
            <v>75300R</v>
          </cell>
          <cell r="B392">
            <v>75300</v>
          </cell>
          <cell r="D392">
            <v>753000</v>
          </cell>
          <cell r="E392" t="str">
            <v>Catering Sales Manager</v>
          </cell>
          <cell r="F392" t="str">
            <v>Sales</v>
          </cell>
          <cell r="G392" t="str">
            <v>Catering Sales Manager Regular Pay</v>
          </cell>
        </row>
        <row r="393">
          <cell r="A393" t="str">
            <v>75300OT</v>
          </cell>
          <cell r="B393">
            <v>75300</v>
          </cell>
          <cell r="D393">
            <v>753000</v>
          </cell>
          <cell r="E393" t="str">
            <v>Catering Sales Manager</v>
          </cell>
          <cell r="F393" t="str">
            <v>Sales</v>
          </cell>
          <cell r="G393" t="str">
            <v>Catering Sales Manager Overtime</v>
          </cell>
        </row>
        <row r="394">
          <cell r="A394" t="str">
            <v>75400R</v>
          </cell>
          <cell r="B394">
            <v>75400</v>
          </cell>
          <cell r="D394">
            <v>754000</v>
          </cell>
          <cell r="E394" t="str">
            <v>Conference Service Manager</v>
          </cell>
          <cell r="F394" t="str">
            <v>Sales</v>
          </cell>
          <cell r="G394" t="str">
            <v>Conference Service Manager Regular Pay</v>
          </cell>
        </row>
        <row r="395">
          <cell r="A395" t="str">
            <v>75400OT</v>
          </cell>
          <cell r="B395">
            <v>75400</v>
          </cell>
          <cell r="D395">
            <v>754000</v>
          </cell>
          <cell r="E395" t="str">
            <v>Conference Service Manager</v>
          </cell>
          <cell r="F395" t="str">
            <v>Sales</v>
          </cell>
          <cell r="G395" t="str">
            <v>Conference Service Manager Overtime</v>
          </cell>
        </row>
        <row r="396">
          <cell r="A396" t="str">
            <v>75500R</v>
          </cell>
          <cell r="B396">
            <v>75500</v>
          </cell>
          <cell r="D396">
            <v>755000</v>
          </cell>
          <cell r="E396" t="str">
            <v>Sales Administrative</v>
          </cell>
          <cell r="F396" t="str">
            <v>Sales</v>
          </cell>
          <cell r="G396" t="str">
            <v>Sales Admin Assistant Regular Pay</v>
          </cell>
        </row>
        <row r="397">
          <cell r="A397" t="str">
            <v>75500OT</v>
          </cell>
          <cell r="B397">
            <v>75500</v>
          </cell>
          <cell r="D397">
            <v>755000</v>
          </cell>
          <cell r="E397" t="str">
            <v>Sales Administrative</v>
          </cell>
          <cell r="F397" t="str">
            <v>Sales</v>
          </cell>
          <cell r="G397" t="str">
            <v>Sales Admin Assistant Overtime</v>
          </cell>
        </row>
        <row r="398">
          <cell r="A398" t="str">
            <v>75600R</v>
          </cell>
          <cell r="B398">
            <v>75600</v>
          </cell>
          <cell r="D398">
            <v>756000</v>
          </cell>
          <cell r="E398" t="str">
            <v>EDS Revenue Mgr</v>
          </cell>
          <cell r="F398" t="str">
            <v>Sales</v>
          </cell>
          <cell r="G398" t="str">
            <v>EDS Revenue Mgr Regular Pay</v>
          </cell>
        </row>
        <row r="399">
          <cell r="A399" t="str">
            <v>75600OT</v>
          </cell>
          <cell r="B399">
            <v>75600</v>
          </cell>
          <cell r="D399">
            <v>756000</v>
          </cell>
          <cell r="E399" t="str">
            <v>EDS Revenue Mgr</v>
          </cell>
          <cell r="F399" t="str">
            <v>Sales</v>
          </cell>
          <cell r="G399" t="str">
            <v>EDS Revenue Mgr Overtime</v>
          </cell>
        </row>
        <row r="400">
          <cell r="A400" t="str">
            <v>77000R</v>
          </cell>
          <cell r="B400">
            <v>77000</v>
          </cell>
          <cell r="D400">
            <v>770000</v>
          </cell>
          <cell r="E400" t="str">
            <v>Chief Engineer</v>
          </cell>
          <cell r="F400" t="str">
            <v>Maint/Eng</v>
          </cell>
          <cell r="G400" t="str">
            <v>Maintenance Chief Regular Pay</v>
          </cell>
        </row>
        <row r="401">
          <cell r="A401" t="str">
            <v>77000OT</v>
          </cell>
          <cell r="B401">
            <v>77000</v>
          </cell>
          <cell r="D401">
            <v>770000</v>
          </cell>
          <cell r="E401" t="str">
            <v>Chief Engineer</v>
          </cell>
          <cell r="F401" t="str">
            <v>Maint/Eng</v>
          </cell>
          <cell r="G401" t="str">
            <v>Maintenance Chief Overtime</v>
          </cell>
        </row>
        <row r="402">
          <cell r="A402" t="str">
            <v>77000R</v>
          </cell>
          <cell r="B402">
            <v>77000</v>
          </cell>
          <cell r="D402">
            <v>770010</v>
          </cell>
          <cell r="E402" t="str">
            <v>Assistant Chief Engineer</v>
          </cell>
          <cell r="F402" t="str">
            <v>Maint/Eng</v>
          </cell>
          <cell r="G402" t="str">
            <v>Maintenance Chief Regular Pay</v>
          </cell>
        </row>
        <row r="403">
          <cell r="A403" t="str">
            <v>77000OT</v>
          </cell>
          <cell r="B403">
            <v>77000</v>
          </cell>
          <cell r="D403">
            <v>770010</v>
          </cell>
          <cell r="E403" t="str">
            <v>Assistant Chief Engineer</v>
          </cell>
          <cell r="F403" t="str">
            <v>Maint/Eng</v>
          </cell>
          <cell r="G403" t="str">
            <v>Maintenance Chief Overtime</v>
          </cell>
        </row>
        <row r="404">
          <cell r="A404" t="str">
            <v>77100R</v>
          </cell>
          <cell r="B404">
            <v>77100</v>
          </cell>
          <cell r="D404">
            <v>771000</v>
          </cell>
          <cell r="E404" t="str">
            <v>Maintenance</v>
          </cell>
          <cell r="F404" t="str">
            <v>Maint/Eng</v>
          </cell>
          <cell r="G404" t="str">
            <v>Maintenance Technicians Regular Pay</v>
          </cell>
        </row>
        <row r="405">
          <cell r="A405" t="str">
            <v>77100OT</v>
          </cell>
          <cell r="B405">
            <v>77100</v>
          </cell>
          <cell r="D405">
            <v>771000</v>
          </cell>
          <cell r="E405" t="str">
            <v>Maintenance</v>
          </cell>
          <cell r="F405" t="str">
            <v>Maint/Eng</v>
          </cell>
          <cell r="G405" t="str">
            <v>Maintenance Technicians Overtime</v>
          </cell>
        </row>
        <row r="406">
          <cell r="A406" t="str">
            <v>77100R</v>
          </cell>
          <cell r="B406">
            <v>77100</v>
          </cell>
          <cell r="D406">
            <v>771001</v>
          </cell>
          <cell r="E406" t="str">
            <v>Overnight Maintenance</v>
          </cell>
          <cell r="F406" t="str">
            <v>Maint/Eng</v>
          </cell>
          <cell r="G406" t="str">
            <v>Maintenance Technicians Regular Pay</v>
          </cell>
        </row>
        <row r="407">
          <cell r="A407" t="str">
            <v>77100OT</v>
          </cell>
          <cell r="B407">
            <v>77100</v>
          </cell>
          <cell r="D407">
            <v>771001</v>
          </cell>
          <cell r="E407" t="str">
            <v>Overnight Maintenance</v>
          </cell>
          <cell r="F407" t="str">
            <v>Maint/Eng</v>
          </cell>
          <cell r="G407" t="str">
            <v>Maintenance Technicians Overtime</v>
          </cell>
        </row>
        <row r="408">
          <cell r="A408" t="str">
            <v>77200R</v>
          </cell>
          <cell r="B408">
            <v>77200</v>
          </cell>
          <cell r="D408">
            <v>772000</v>
          </cell>
          <cell r="E408" t="str">
            <v>Maintenance Pool Attendants</v>
          </cell>
          <cell r="F408" t="str">
            <v>Maint/Eng</v>
          </cell>
          <cell r="G408" t="str">
            <v>Maintenance-Pool Attendants Regular Pay</v>
          </cell>
        </row>
        <row r="409">
          <cell r="A409" t="str">
            <v>77200OT</v>
          </cell>
          <cell r="B409">
            <v>77200</v>
          </cell>
          <cell r="D409">
            <v>772000</v>
          </cell>
          <cell r="E409" t="str">
            <v>Maintenance Pool Attendants</v>
          </cell>
          <cell r="F409" t="str">
            <v>Maint/Eng</v>
          </cell>
          <cell r="G409" t="str">
            <v>Maintenance Pool Attendants Overtime</v>
          </cell>
        </row>
        <row r="410">
          <cell r="A410" t="str">
            <v>77300R</v>
          </cell>
          <cell r="B410">
            <v>77300</v>
          </cell>
          <cell r="D410">
            <v>773000</v>
          </cell>
          <cell r="E410" t="str">
            <v>Maintenance Special Projects</v>
          </cell>
          <cell r="F410" t="str">
            <v>Maint/Eng</v>
          </cell>
          <cell r="G410" t="str">
            <v>Maintenance Special Projects Regular Pay</v>
          </cell>
        </row>
        <row r="411">
          <cell r="A411" t="str">
            <v>77300OT</v>
          </cell>
          <cell r="B411">
            <v>77300</v>
          </cell>
          <cell r="D411">
            <v>773000</v>
          </cell>
          <cell r="E411" t="str">
            <v>Maintenance Special Projects</v>
          </cell>
          <cell r="F411" t="str">
            <v>Maint/Eng</v>
          </cell>
          <cell r="G411" t="str">
            <v>Maintenance Special Projects Overtime</v>
          </cell>
        </row>
        <row r="412">
          <cell r="A412" t="str">
            <v>77700R</v>
          </cell>
          <cell r="B412">
            <v>77700</v>
          </cell>
          <cell r="D412">
            <v>777000</v>
          </cell>
          <cell r="E412" t="str">
            <v>Maintenance Facilities Director</v>
          </cell>
          <cell r="F412" t="str">
            <v>Maint/Eng</v>
          </cell>
          <cell r="G412" t="str">
            <v>Maintenance Facilities Director Regular Pay</v>
          </cell>
        </row>
        <row r="413">
          <cell r="A413" t="str">
            <v>77700OT</v>
          </cell>
          <cell r="B413">
            <v>77700</v>
          </cell>
          <cell r="D413">
            <v>777000</v>
          </cell>
          <cell r="E413" t="str">
            <v>Maintenance Facilities Director</v>
          </cell>
          <cell r="F413" t="str">
            <v>Maint/Eng</v>
          </cell>
          <cell r="G413" t="str">
            <v>Maintenance Facilities Director Overtime</v>
          </cell>
        </row>
        <row r="414">
          <cell r="A414" t="str">
            <v>88100R</v>
          </cell>
          <cell r="B414">
            <v>88100</v>
          </cell>
          <cell r="D414">
            <v>881000</v>
          </cell>
          <cell r="E414" t="str">
            <v>Hospitality Bartender</v>
          </cell>
          <cell r="F414" t="str">
            <v>Hospitality (Select hotels)</v>
          </cell>
          <cell r="G414" t="str">
            <v>Bartender - Hospitality Regular Pay</v>
          </cell>
        </row>
        <row r="415">
          <cell r="A415" t="str">
            <v>88100OT</v>
          </cell>
          <cell r="B415">
            <v>88100</v>
          </cell>
          <cell r="D415">
            <v>881000</v>
          </cell>
          <cell r="E415" t="str">
            <v>Hospitality Bartender</v>
          </cell>
          <cell r="F415" t="str">
            <v>Hospitality (Select hotels)</v>
          </cell>
          <cell r="G415" t="str">
            <v>Bartender - Hospitality Overtime</v>
          </cell>
        </row>
        <row r="416">
          <cell r="A416" t="str">
            <v>88101R</v>
          </cell>
          <cell r="B416">
            <v>88101</v>
          </cell>
          <cell r="D416">
            <v>881010</v>
          </cell>
          <cell r="E416" t="str">
            <v>Hospitality Food Production</v>
          </cell>
          <cell r="F416" t="str">
            <v>Hospitality (Select hotels)</v>
          </cell>
          <cell r="G416" t="str">
            <v>Food Production - Hospitality Regular Pay</v>
          </cell>
        </row>
        <row r="417">
          <cell r="A417" t="str">
            <v>88101OT</v>
          </cell>
          <cell r="B417">
            <v>88101</v>
          </cell>
          <cell r="D417">
            <v>881010</v>
          </cell>
          <cell r="E417" t="str">
            <v>Hospitality Food Production</v>
          </cell>
          <cell r="F417" t="str">
            <v>Hospitality (Select hotels)</v>
          </cell>
          <cell r="G417" t="str">
            <v>Food Production - Hospitality Overtime</v>
          </cell>
        </row>
        <row r="418">
          <cell r="A418" t="str">
            <v>88102R</v>
          </cell>
          <cell r="B418">
            <v>88102</v>
          </cell>
          <cell r="D418">
            <v>881020</v>
          </cell>
          <cell r="E418" t="str">
            <v>Hospitality Attendant</v>
          </cell>
          <cell r="F418" t="str">
            <v>Hospitality (Select hotels)</v>
          </cell>
          <cell r="G418" t="str">
            <v>Host Persons - Hospitality Regular Pay</v>
          </cell>
        </row>
        <row r="419">
          <cell r="A419" t="str">
            <v>88102OT</v>
          </cell>
          <cell r="B419">
            <v>88102</v>
          </cell>
          <cell r="D419">
            <v>881020</v>
          </cell>
          <cell r="E419" t="str">
            <v>Hospitality Attendant</v>
          </cell>
          <cell r="F419" t="str">
            <v>Hospitality (Select hotels)</v>
          </cell>
          <cell r="G419" t="str">
            <v>Host Persons - Hospitality Overtime</v>
          </cell>
        </row>
        <row r="420">
          <cell r="A420" t="str">
            <v>88200R</v>
          </cell>
          <cell r="B420">
            <v>88200</v>
          </cell>
          <cell r="D420">
            <v>882000</v>
          </cell>
          <cell r="E420" t="str">
            <v>Laundry Department</v>
          </cell>
          <cell r="F420" t="str">
            <v>Laundry (Select hotels)</v>
          </cell>
          <cell r="G420" t="str">
            <v>Laundry Labor - Regular Pay</v>
          </cell>
        </row>
        <row r="421">
          <cell r="A421" t="str">
            <v>88200OT</v>
          </cell>
          <cell r="B421">
            <v>88200</v>
          </cell>
          <cell r="D421">
            <v>882000</v>
          </cell>
          <cell r="E421" t="str">
            <v>Laundry Department</v>
          </cell>
          <cell r="F421" t="str">
            <v>Laundry (Select hotels)</v>
          </cell>
          <cell r="G421" t="str">
            <v>Laundry Labor - Overtime</v>
          </cell>
        </row>
        <row r="422">
          <cell r="A422" t="str">
            <v>88200R</v>
          </cell>
          <cell r="B422">
            <v>88200</v>
          </cell>
          <cell r="D422">
            <v>882001</v>
          </cell>
          <cell r="E422" t="str">
            <v>Overnight Laundry Department</v>
          </cell>
          <cell r="F422" t="str">
            <v>Laundry (Select hotels)</v>
          </cell>
          <cell r="G422" t="str">
            <v>Laundry Labor - Regular Pay</v>
          </cell>
        </row>
        <row r="423">
          <cell r="A423" t="str">
            <v>88200OT</v>
          </cell>
          <cell r="B423">
            <v>88200</v>
          </cell>
          <cell r="D423">
            <v>882001</v>
          </cell>
          <cell r="E423" t="str">
            <v>Overnight Laundry Department</v>
          </cell>
          <cell r="F423" t="str">
            <v>Laundry (Select hotels)</v>
          </cell>
          <cell r="G423" t="str">
            <v>Laundry Labor - Overtime</v>
          </cell>
        </row>
        <row r="424">
          <cell r="A424" t="str">
            <v>88400R</v>
          </cell>
          <cell r="B424">
            <v>88400</v>
          </cell>
          <cell r="D424">
            <v>884000</v>
          </cell>
          <cell r="E424" t="str">
            <v>Staff Dining Manager</v>
          </cell>
          <cell r="G424" t="str">
            <v>Staff Dining Manager Regular Pay</v>
          </cell>
        </row>
        <row r="425">
          <cell r="A425" t="str">
            <v>88400OT</v>
          </cell>
          <cell r="B425">
            <v>88400</v>
          </cell>
          <cell r="D425">
            <v>884000</v>
          </cell>
          <cell r="E425" t="str">
            <v>Staff Dining Manager</v>
          </cell>
          <cell r="G425" t="str">
            <v>Staff Dining Manager Overtime Pay</v>
          </cell>
        </row>
        <row r="426">
          <cell r="A426" t="str">
            <v>88401R</v>
          </cell>
          <cell r="B426">
            <v>88401</v>
          </cell>
          <cell r="D426">
            <v>884010</v>
          </cell>
          <cell r="E426" t="str">
            <v>Staff Dining Attendant</v>
          </cell>
          <cell r="G426" t="str">
            <v>Staff Dining Attendant Regular Pay</v>
          </cell>
        </row>
        <row r="427">
          <cell r="A427" t="str">
            <v>88401OT</v>
          </cell>
          <cell r="B427">
            <v>88401</v>
          </cell>
          <cell r="D427">
            <v>884010</v>
          </cell>
          <cell r="E427" t="str">
            <v>Staff Dining Attendant</v>
          </cell>
          <cell r="G427" t="str">
            <v>Staff Dining Attendant Overtime Pay</v>
          </cell>
        </row>
        <row r="428">
          <cell r="A428" t="str">
            <v>88402R</v>
          </cell>
          <cell r="B428">
            <v>88402</v>
          </cell>
          <cell r="D428">
            <v>884020</v>
          </cell>
          <cell r="E428" t="str">
            <v>Staff Dining Cook</v>
          </cell>
          <cell r="G428" t="str">
            <v>Staff Dining Cook Regular Pay</v>
          </cell>
        </row>
        <row r="429">
          <cell r="A429" t="str">
            <v>88402OT</v>
          </cell>
          <cell r="B429">
            <v>88402</v>
          </cell>
          <cell r="D429">
            <v>884020</v>
          </cell>
          <cell r="E429" t="str">
            <v>Staff Dining Cook</v>
          </cell>
          <cell r="G429" t="str">
            <v>Staff Dining Cook Overtime Pay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lmurugan Vadivel" refreshedDate="46246.080596412037" createdVersion="8" refreshedVersion="8" minRefreshableVersion="3" recordCount="141" xr:uid="{EFC66FE4-80DA-42E1-A8C6-DE7DE7B8FA60}">
  <cacheSource type="worksheet">
    <worksheetSource ref="A1:L142" sheet="Jul Payroll"/>
  </cacheSource>
  <cacheFields count="12">
    <cacheField name="External ID" numFmtId="0">
      <sharedItems/>
    </cacheField>
    <cacheField name="Transaction Date" numFmtId="14">
      <sharedItems containsSemiMixedTypes="0" containsNonDate="0" containsDate="1" containsString="0" minDate="2026-07-04T00:00:00" maxDate="2026-07-19T00:00:00" count="2">
        <d v="2026-07-04T00:00:00"/>
        <d v="2026-07-18T00:00:00"/>
      </sharedItems>
    </cacheField>
    <cacheField name="Posting Period" numFmtId="0">
      <sharedItems containsNonDate="0" containsString="0" containsBlank="1" count="1">
        <m/>
      </sharedItems>
    </cacheField>
    <cacheField name="Memo" numFmtId="0">
      <sharedItems/>
    </cacheField>
    <cacheField name="Subsidiary" numFmtId="0">
      <sharedItems containsSemiMixedTypes="0" containsString="0" containsNumber="1" containsInteger="1" minValue="474" maxValue="474"/>
    </cacheField>
    <cacheField name="GL Account Number" numFmtId="0">
      <sharedItems containsMixedTypes="1" containsNumber="1" containsInteger="1" minValue="21500" maxValue="78100" count="61">
        <n v="21500"/>
        <n v="22052"/>
        <n v="22060"/>
        <n v="51920"/>
        <n v="60700"/>
        <n v="60920"/>
        <n v="60940"/>
        <n v="60990"/>
        <n v="61950"/>
        <n v="62700"/>
        <n v="62920"/>
        <n v="62940"/>
        <n v="62990"/>
        <n v="63905"/>
        <n v="64905"/>
        <n v="64920"/>
        <n v="64990"/>
        <n v="73920"/>
        <n v="73940"/>
        <n v="73990"/>
        <n v="75920"/>
        <n v="75940"/>
        <n v="75990"/>
        <n v="77940"/>
        <n v="77960"/>
        <n v="78100"/>
        <s v="60000OT"/>
        <s v="60000R"/>
        <s v="60010R"/>
        <s v="60020R"/>
        <s v="60040OT"/>
        <s v="60040R"/>
        <s v="60050R"/>
        <s v="60200R"/>
        <s v="60300R"/>
        <s v="60350R"/>
        <s v="60390R"/>
        <s v="60650R"/>
        <s v="62000R"/>
        <s v="62050R"/>
        <s v="62110R"/>
        <s v="62230R"/>
        <s v="62260R"/>
        <s v="62300R"/>
        <s v="62500OT"/>
        <s v="62500R"/>
        <s v="62600R"/>
        <s v="64100R"/>
        <s v="73000R"/>
        <s v="73400R"/>
        <s v="73500R"/>
        <s v="75010R"/>
        <s v="75020R"/>
        <s v="75500OT"/>
        <s v="75500R"/>
        <s v="77000R"/>
        <s v="77100R"/>
        <n v="64910"/>
        <s v="60200OT"/>
        <s v="60350OT"/>
        <s v="60500R"/>
      </sharedItems>
    </cacheField>
    <cacheField name="GL Account Name" numFmtId="0">
      <sharedItems containsNonDate="0" containsString="0" containsBlank="1"/>
    </cacheField>
    <cacheField name="Debit" numFmtId="0">
      <sharedItems containsSemiMixedTypes="0" containsString="0" containsNumber="1" minValue="0" maxValue="26913.360000000001"/>
    </cacheField>
    <cacheField name="Credit" numFmtId="0">
      <sharedItems containsSemiMixedTypes="0" containsString="0" containsNumber="1" minValue="0" maxValue="118391.41"/>
    </cacheField>
    <cacheField name="Memo (Line)" numFmtId="0">
      <sharedItems/>
    </cacheField>
    <cacheField name="Outlet" numFmtId="0">
      <sharedItems containsBlank="1"/>
    </cacheField>
    <cacheField name="Loca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THG-00059"/>
    <x v="0"/>
    <x v="0"/>
    <s v="Payroll Period 06.21.2026 to 07.04.2026 # PD 07.09.2026"/>
    <n v="474"/>
    <x v="0"/>
    <m/>
    <n v="0"/>
    <n v="2205.23"/>
    <s v="ADP Garnishment Liability - Payroll Period 06.21.2026 to 07.04.2026 # PD 07.09.2026"/>
    <m/>
    <m/>
  </r>
  <r>
    <s v="THG-00059"/>
    <x v="0"/>
    <x v="0"/>
    <s v="Payroll Period 06.21.2026 to 07.04.2026 # PD 07.09.2026"/>
    <n v="474"/>
    <x v="0"/>
    <m/>
    <n v="0"/>
    <n v="118391.41"/>
    <s v="ADP Wagepay - Payroll Period 06.21.2026 to 07.04.2026 # PD 07.09.2026"/>
    <m/>
    <m/>
  </r>
  <r>
    <s v="THG-00059"/>
    <x v="0"/>
    <x v="0"/>
    <s v="Payroll Period 06.21.2026 to 07.04.2026 # PD 07.09.2026"/>
    <n v="474"/>
    <x v="0"/>
    <m/>
    <n v="0"/>
    <n v="3282.72"/>
    <s v="Employee Benefits Contributions - Payroll Period 06.21.2026 to 07.04.2026 # PD 07.09.2026"/>
    <m/>
    <m/>
  </r>
  <r>
    <s v="THG-00059"/>
    <x v="0"/>
    <x v="0"/>
    <s v="Payroll Period 06.21.2026 to 07.04.2026 # PD 07.09.2026"/>
    <n v="474"/>
    <x v="0"/>
    <m/>
    <n v="0"/>
    <n v="27537.21"/>
    <s v="Employee Tax Liability - Payroll Period 06.21.2026 to 07.04.2026 # PD 07.09.2026"/>
    <m/>
    <m/>
  </r>
  <r>
    <s v="THG-00059"/>
    <x v="0"/>
    <x v="0"/>
    <s v="Payroll Period 06.21.2026 to 07.04.2026 # PD 07.09.2026"/>
    <n v="474"/>
    <x v="0"/>
    <m/>
    <n v="0"/>
    <n v="12846.47"/>
    <s v="Employer Benefits Cost - Payroll Period 06.21.2026 to 07.04.2026 # PD 07.09.2026"/>
    <m/>
    <m/>
  </r>
  <r>
    <s v="THG-00059"/>
    <x v="0"/>
    <x v="0"/>
    <s v="Payroll Period 06.21.2026 to 07.04.2026 # PD 07.09.2026"/>
    <n v="474"/>
    <x v="0"/>
    <m/>
    <n v="0"/>
    <n v="13179.28"/>
    <s v="Employer Tax Liability - Payroll Period 06.21.2026 to 07.04.2026 # PD 07.09.2026"/>
    <m/>
    <m/>
  </r>
  <r>
    <s v="THG-00059"/>
    <x v="0"/>
    <x v="0"/>
    <s v="Payroll Period 06.21.2026 to 07.04.2026 # PD 07.09.2026"/>
    <n v="474"/>
    <x v="1"/>
    <m/>
    <n v="10952.44"/>
    <n v="0"/>
    <s v="Charge Tips Paid - Payroll Period 06.21.2026 to 07.04.2026 # PD 07.09.2026"/>
    <m/>
    <m/>
  </r>
  <r>
    <s v="THG-00059"/>
    <x v="0"/>
    <x v="0"/>
    <s v="Payroll Period 06.21.2026 to 07.04.2026 # PD 07.09.2026"/>
    <n v="474"/>
    <x v="2"/>
    <m/>
    <n v="0"/>
    <n v="7355.27"/>
    <s v="ADP Retirement Liability - Payroll Period 06.21.2026 to 07.04.2026 # PD 07.09.2026"/>
    <m/>
    <m/>
  </r>
  <r>
    <s v="THG-00059"/>
    <x v="0"/>
    <x v="0"/>
    <s v="Payroll Period 06.21.2026 to 07.04.2026 # PD 07.09.2026"/>
    <n v="474"/>
    <x v="3"/>
    <m/>
    <n v="875"/>
    <n v="0"/>
    <s v="Reimbursements - Payroll Period 06.21.2026 to 07.04.2026 # PD 07.09.2026"/>
    <m/>
    <m/>
  </r>
  <r>
    <s v="THG-00059"/>
    <x v="0"/>
    <x v="0"/>
    <s v="Payroll Period 06.21.2026 to 07.04.2026 # PD 07.09.2026"/>
    <n v="474"/>
    <x v="4"/>
    <m/>
    <n v="941.48"/>
    <n v="0"/>
    <s v="Bonus and Incentive - Rooms - Payroll Period 06.21.2026 to 07.04.2026 # PD 07.09.2026"/>
    <m/>
    <m/>
  </r>
  <r>
    <s v="THG-00059"/>
    <x v="0"/>
    <x v="0"/>
    <s v="Payroll Period 06.21.2026 to 07.04.2026 # PD 07.09.2026"/>
    <n v="474"/>
    <x v="5"/>
    <m/>
    <n v="5695.68"/>
    <n v="0"/>
    <s v="Rooms Employer Tax - Payroll Period 06.21.2026 to 07.04.2026 # PD 07.09.2026"/>
    <m/>
    <m/>
  </r>
  <r>
    <s v="THG-00059"/>
    <x v="0"/>
    <x v="0"/>
    <s v="Payroll Period 06.21.2026 to 07.04.2026 # PD 07.09.2026"/>
    <n v="474"/>
    <x v="5"/>
    <m/>
    <n v="7.02"/>
    <n v="0"/>
    <s v="Rooms Employer Tax - Payroll Period 06.21.2026 to 07.04.2026 # PD 07.09.2026"/>
    <m/>
    <m/>
  </r>
  <r>
    <s v="THG-00059"/>
    <x v="0"/>
    <x v="0"/>
    <s v="Payroll Period 06.21.2026 to 07.04.2026 # PD 07.09.2026"/>
    <n v="474"/>
    <x v="6"/>
    <m/>
    <n v="5901.38"/>
    <n v="0"/>
    <s v="Employer Benefits Cost - Payroll Period 06.21.2026 to 07.04.2026 # PD 07.09.2026"/>
    <m/>
    <m/>
  </r>
  <r>
    <s v="THG-00059"/>
    <x v="0"/>
    <x v="0"/>
    <s v="Payroll Period 06.21.2026 to 07.04.2026 # PD 07.09.2026"/>
    <n v="474"/>
    <x v="6"/>
    <m/>
    <n v="630.82000000000005"/>
    <n v="0"/>
    <s v="Employer Match Retirement - Payroll Period 06.21.2026 to 07.04.2026 # PD 07.09.2026"/>
    <m/>
    <m/>
  </r>
  <r>
    <s v="THG-00059"/>
    <x v="0"/>
    <x v="0"/>
    <s v="Payroll Period 06.21.2026 to 07.04.2026 # PD 07.09.2026"/>
    <n v="474"/>
    <x v="6"/>
    <m/>
    <n v="3.25"/>
    <n v="0"/>
    <s v="Employer Match Retirement - Payroll Period 06.21.2026 to 07.04.2026 # PD 07.09.2026"/>
    <m/>
    <m/>
  </r>
  <r>
    <s v="THG-00059"/>
    <x v="0"/>
    <x v="0"/>
    <s v="Payroll Period 06.21.2026 to 07.04.2026 # PD 07.09.2026"/>
    <n v="474"/>
    <x v="7"/>
    <m/>
    <n v="2682.79"/>
    <n v="0"/>
    <s v="Supplemental Pay - Payroll Period 06.21.2026 to 07.04.2026 # PD 07.09.2026"/>
    <m/>
    <m/>
  </r>
  <r>
    <s v="THG-00059"/>
    <x v="0"/>
    <x v="0"/>
    <s v="Payroll Period 06.21.2026 to 07.04.2026 # PD 07.09.2026"/>
    <n v="474"/>
    <x v="8"/>
    <m/>
    <n v="0"/>
    <n v="29.09"/>
    <s v="Uniforms - Payroll Period 06.21.2026 to 07.04.2026 # PD 07.09.2026"/>
    <m/>
    <m/>
  </r>
  <r>
    <s v="THG-00059"/>
    <x v="0"/>
    <x v="0"/>
    <s v="Payroll Period 06.21.2026 to 07.04.2026 # PD 07.09.2026"/>
    <n v="474"/>
    <x v="9"/>
    <m/>
    <n v="10.82"/>
    <n v="0"/>
    <s v="Bonus and Incentive - Payroll Period 06.21.2026 to 07.04.2026 # PD 07.09.2026"/>
    <s v="01 Restaurant 1"/>
    <m/>
  </r>
  <r>
    <s v="THG-00059"/>
    <x v="0"/>
    <x v="0"/>
    <s v="Payroll Period 06.21.2026 to 07.04.2026 # PD 07.09.2026"/>
    <n v="474"/>
    <x v="10"/>
    <m/>
    <n v="3671.32"/>
    <n v="0"/>
    <s v="F&amp;B Employer Tax - Payroll Period 06.21.2026 to 07.04.2026 # PD 07.09.2026"/>
    <s v="01 Restaurant 1"/>
    <m/>
  </r>
  <r>
    <s v="THG-00059"/>
    <x v="0"/>
    <x v="0"/>
    <s v="Payroll Period 06.21.2026 to 07.04.2026 # PD 07.09.2026"/>
    <n v="474"/>
    <x v="10"/>
    <m/>
    <n v="100.28"/>
    <n v="0"/>
    <s v="F&amp;B Employer Tax - Payroll Period 06.21.2026 to 07.04.2026 # PD 07.09.2026"/>
    <s v="11 Banquets"/>
    <m/>
  </r>
  <r>
    <s v="THG-00059"/>
    <x v="0"/>
    <x v="0"/>
    <s v="Payroll Period 06.21.2026 to 07.04.2026 # PD 07.09.2026"/>
    <n v="474"/>
    <x v="11"/>
    <m/>
    <n v="3614.3"/>
    <n v="0"/>
    <s v="Employer Benefits Cost - Payroll Period 06.21.2026 to 07.04.2026 # PD 07.09.2026"/>
    <s v="01 Restaurant 1"/>
    <m/>
  </r>
  <r>
    <s v="THG-00059"/>
    <x v="0"/>
    <x v="0"/>
    <s v="Payroll Period 06.21.2026 to 07.04.2026 # PD 07.09.2026"/>
    <n v="474"/>
    <x v="11"/>
    <m/>
    <n v="423.24"/>
    <n v="0"/>
    <s v="Employer Match Retirement - Payroll Period 06.21.2026 to 07.04.2026 # PD 07.09.2026"/>
    <s v="01 Restaurant 1"/>
    <m/>
  </r>
  <r>
    <s v="THG-00059"/>
    <x v="0"/>
    <x v="0"/>
    <s v="Payroll Period 06.21.2026 to 07.04.2026 # PD 07.09.2026"/>
    <n v="474"/>
    <x v="12"/>
    <m/>
    <n v="3100.5"/>
    <n v="0"/>
    <s v="Supplemental Pay - Payroll Period 06.21.2026 to 07.04.2026 # PD 07.09.2026"/>
    <s v="01 Restaurant 1"/>
    <m/>
  </r>
  <r>
    <s v="THG-00059"/>
    <x v="0"/>
    <x v="0"/>
    <s v="Payroll Period 06.21.2026 to 07.04.2026 # PD 07.09.2026"/>
    <n v="474"/>
    <x v="13"/>
    <m/>
    <n v="1428.08"/>
    <n v="0"/>
    <s v="Service Charges - Payroll Period 06.21.2026 to 07.04.2026 # PD 07.09.2026"/>
    <s v="01 Restaurant 1"/>
    <m/>
  </r>
  <r>
    <s v="THG-00059"/>
    <x v="0"/>
    <x v="0"/>
    <s v="Payroll Period 06.21.2026 to 07.04.2026 # PD 07.09.2026"/>
    <n v="474"/>
    <x v="13"/>
    <m/>
    <n v="803.14"/>
    <n v="0"/>
    <s v="Service Charges - Payroll Period 06.21.2026 to 07.04.2026 # PD 07.09.2026"/>
    <s v="11 Banquets"/>
    <m/>
  </r>
  <r>
    <s v="THG-00059"/>
    <x v="0"/>
    <x v="0"/>
    <s v="Payroll Period 06.21.2026 to 07.04.2026 # PD 07.09.2026"/>
    <n v="474"/>
    <x v="14"/>
    <m/>
    <n v="171.7"/>
    <n v="0"/>
    <s v="Service Charges - Payroll Period 06.21.2026 to 07.04.2026 # PD 07.09.2026"/>
    <s v="01 Restaurant 1"/>
    <m/>
  </r>
  <r>
    <s v="THG-00059"/>
    <x v="0"/>
    <x v="0"/>
    <s v="Payroll Period 06.21.2026 to 07.04.2026 # PD 07.09.2026"/>
    <n v="474"/>
    <x v="15"/>
    <m/>
    <n v="649.83000000000004"/>
    <n v="0"/>
    <s v="Bar Employer Tax - Payroll Period 06.21.2026 to 07.04.2026 # PD 07.09.2026"/>
    <s v="01 Restaurant 1"/>
    <m/>
  </r>
  <r>
    <s v="THG-00059"/>
    <x v="0"/>
    <x v="0"/>
    <s v="Payroll Period 06.21.2026 to 07.04.2026 # PD 07.09.2026"/>
    <n v="474"/>
    <x v="16"/>
    <m/>
    <n v="173.84"/>
    <n v="0"/>
    <s v="Supplemental Pay - Payroll Period 06.21.2026 to 07.04.2026 # PD 07.09.2026"/>
    <s v="01 Restaurant 1"/>
    <m/>
  </r>
  <r>
    <s v="THG-00059"/>
    <x v="0"/>
    <x v="0"/>
    <s v="Payroll Period 06.21.2026 to 07.04.2026 # PD 07.09.2026"/>
    <n v="474"/>
    <x v="17"/>
    <m/>
    <n v="1462.64"/>
    <n v="0"/>
    <s v="A&amp;G Employer Tax - Payroll Period 06.21.2026 to 07.04.2026 # PD 07.09.2026"/>
    <m/>
    <m/>
  </r>
  <r>
    <s v="THG-00059"/>
    <x v="0"/>
    <x v="0"/>
    <s v="Payroll Period 06.21.2026 to 07.04.2026 # PD 07.09.2026"/>
    <n v="474"/>
    <x v="18"/>
    <m/>
    <n v="1708.4"/>
    <n v="0"/>
    <s v="Employer Benefits Cost - Payroll Period 06.21.2026 to 07.04.2026 # PD 07.09.2026"/>
    <m/>
    <m/>
  </r>
  <r>
    <s v="THG-00059"/>
    <x v="0"/>
    <x v="0"/>
    <s v="Payroll Period 06.21.2026 to 07.04.2026 # PD 07.09.2026"/>
    <n v="474"/>
    <x v="18"/>
    <m/>
    <n v="626.34"/>
    <n v="0"/>
    <s v="Employer Match Retirement - Payroll Period 06.21.2026 to 07.04.2026 # PD 07.09.2026"/>
    <m/>
    <m/>
  </r>
  <r>
    <s v="THG-00059"/>
    <x v="0"/>
    <x v="0"/>
    <s v="Payroll Period 06.21.2026 to 07.04.2026 # PD 07.09.2026"/>
    <n v="474"/>
    <x v="19"/>
    <m/>
    <n v="4548.3900000000003"/>
    <n v="0"/>
    <s v="Supplemental Pay - Payroll Period 06.21.2026 to 07.04.2026 # PD 07.09.2026"/>
    <m/>
    <m/>
  </r>
  <r>
    <s v="THG-00059"/>
    <x v="0"/>
    <x v="0"/>
    <s v="Payroll Period 06.21.2026 to 07.04.2026 # PD 07.09.2026"/>
    <n v="474"/>
    <x v="20"/>
    <m/>
    <n v="932.38"/>
    <n v="0"/>
    <s v="Sales Employer Tax - Payroll Period 06.21.2026 to 07.04.2026 # PD 07.09.2026"/>
    <m/>
    <m/>
  </r>
  <r>
    <s v="THG-00059"/>
    <x v="0"/>
    <x v="0"/>
    <s v="Payroll Period 06.21.2026 to 07.04.2026 # PD 07.09.2026"/>
    <n v="474"/>
    <x v="21"/>
    <m/>
    <n v="1016.35"/>
    <n v="0"/>
    <s v="Employer Benefits Cost - Payroll Period 06.21.2026 to 07.04.2026 # PD 07.09.2026"/>
    <m/>
    <m/>
  </r>
  <r>
    <s v="THG-00059"/>
    <x v="0"/>
    <x v="0"/>
    <s v="Payroll Period 06.21.2026 to 07.04.2026 # PD 07.09.2026"/>
    <n v="474"/>
    <x v="22"/>
    <m/>
    <n v="3980.77"/>
    <n v="0"/>
    <s v="Supplemental Pay - Payroll Period 06.21.2026 to 07.04.2026 # PD 07.09.2026"/>
    <m/>
    <m/>
  </r>
  <r>
    <s v="THG-00059"/>
    <x v="0"/>
    <x v="0"/>
    <s v="Payroll Period 06.21.2026 to 07.04.2026 # PD 07.09.2026"/>
    <n v="474"/>
    <x v="23"/>
    <m/>
    <n v="659.41"/>
    <n v="0"/>
    <s v="Maint Employer Tax - Payroll Period 06.21.2026 to 07.04.2026 # PD 07.09.2026"/>
    <m/>
    <m/>
  </r>
  <r>
    <s v="THG-00059"/>
    <x v="0"/>
    <x v="0"/>
    <s v="Payroll Period 06.21.2026 to 07.04.2026 # PD 07.09.2026"/>
    <n v="474"/>
    <x v="24"/>
    <m/>
    <n v="606.04"/>
    <n v="0"/>
    <s v="Employer Benefits Cost - Payroll Period 06.21.2026 to 07.04.2026 # PD 07.09.2026"/>
    <m/>
    <m/>
  </r>
  <r>
    <s v="THG-00059"/>
    <x v="0"/>
    <x v="0"/>
    <s v="Payroll Period 06.21.2026 to 07.04.2026 # PD 07.09.2026"/>
    <n v="474"/>
    <x v="24"/>
    <m/>
    <n v="130.35"/>
    <n v="0"/>
    <s v="Employer Match Retirement - Payroll Period 06.21.2026 to 07.04.2026 # PD 07.09.2026"/>
    <m/>
    <m/>
  </r>
  <r>
    <s v="THG-00059"/>
    <x v="0"/>
    <x v="0"/>
    <s v="Payroll Period 06.21.2026 to 07.04.2026 # PD 07.09.2026"/>
    <n v="474"/>
    <x v="25"/>
    <m/>
    <n v="1179.78"/>
    <n v="0"/>
    <s v="Supplemental Pay - Payroll Period 06.21.2026 to 07.04.2026 # PD 07.09.2026"/>
    <m/>
    <m/>
  </r>
  <r>
    <s v="THG-00059"/>
    <x v="0"/>
    <x v="0"/>
    <s v="Payroll Period 06.21.2026 to 07.04.2026 # PD 07.09.2026"/>
    <n v="474"/>
    <x v="26"/>
    <m/>
    <n v="82.22"/>
    <n v="0"/>
    <s v="Night Audit OT - Payroll Period 06.21.2026 to 07.04.2026 # PD 07.09.2026"/>
    <m/>
    <m/>
  </r>
  <r>
    <s v="THG-00059"/>
    <x v="0"/>
    <x v="0"/>
    <s v="Payroll Period 06.21.2026 to 07.04.2026 # PD 07.09.2026"/>
    <n v="474"/>
    <x v="27"/>
    <m/>
    <n v="4558.08"/>
    <n v="0"/>
    <s v="Night Audit Wages - Payroll Period 06.21.2026 to 07.04.2026 # PD 07.09.2026"/>
    <m/>
    <m/>
  </r>
  <r>
    <s v="THG-00059"/>
    <x v="0"/>
    <x v="0"/>
    <s v="Payroll Period 06.21.2026 to 07.04.2026 # PD 07.09.2026"/>
    <n v="474"/>
    <x v="28"/>
    <m/>
    <n v="2624.51"/>
    <n v="0"/>
    <s v="Guest Service Mgr Wages - Payroll Period 06.21.2026 to 07.04.2026 # PD 07.09.2026"/>
    <m/>
    <m/>
  </r>
  <r>
    <s v="THG-00059"/>
    <x v="0"/>
    <x v="0"/>
    <s v="Payroll Period 06.21.2026 to 07.04.2026 # PD 07.09.2026"/>
    <n v="474"/>
    <x v="29"/>
    <m/>
    <n v="3824.62"/>
    <n v="0"/>
    <s v="Asst General Manager Wages - Payroll Period 06.21.2026 to 07.04.2026 # PD 07.09.2026"/>
    <m/>
    <m/>
  </r>
  <r>
    <s v="THG-00059"/>
    <x v="0"/>
    <x v="0"/>
    <s v="Payroll Period 06.21.2026 to 07.04.2026 # PD 07.09.2026"/>
    <n v="474"/>
    <x v="30"/>
    <m/>
    <n v="0.87"/>
    <n v="0"/>
    <s v="Guest Svc Super OT - Payroll Period 06.21.2026 to 07.04.2026 # PD 07.09.2026"/>
    <m/>
    <m/>
  </r>
  <r>
    <s v="THG-00059"/>
    <x v="0"/>
    <x v="0"/>
    <s v="Payroll Period 06.21.2026 to 07.04.2026 # PD 07.09.2026"/>
    <n v="474"/>
    <x v="31"/>
    <m/>
    <n v="2673.13"/>
    <n v="0"/>
    <s v="Guest Service Super Wages - Payroll Period 06.21.2026 to 07.04.2026 # PD 07.09.2026"/>
    <m/>
    <m/>
  </r>
  <r>
    <s v="THG-00059"/>
    <x v="0"/>
    <x v="0"/>
    <s v="Payroll Period 06.21.2026 to 07.04.2026 # PD 07.09.2026"/>
    <n v="474"/>
    <x v="32"/>
    <m/>
    <n v="7748.01"/>
    <n v="0"/>
    <s v="Guest Service Wages - Payroll Period 06.21.2026 to 07.04.2026 # PD 07.09.2026"/>
    <m/>
    <m/>
  </r>
  <r>
    <s v="THG-00059"/>
    <x v="0"/>
    <x v="0"/>
    <s v="Payroll Period 06.21.2026 to 07.04.2026 # PD 07.09.2026"/>
    <n v="474"/>
    <x v="33"/>
    <m/>
    <n v="2772.58"/>
    <n v="0"/>
    <s v="Concierge Wages - Payroll Period 06.21.2026 to 07.04.2026 # PD 07.09.2026"/>
    <m/>
    <m/>
  </r>
  <r>
    <s v="THG-00059"/>
    <x v="0"/>
    <x v="0"/>
    <s v="Payroll Period 06.21.2026 to 07.04.2026 # PD 07.09.2026"/>
    <n v="474"/>
    <x v="34"/>
    <m/>
    <n v="3056.37"/>
    <n v="0"/>
    <s v="Exec Housekeeper Wages - Payroll Period 06.21.2026 to 07.04.2026 # PD 07.09.2026"/>
    <m/>
    <m/>
  </r>
  <r>
    <s v="THG-00059"/>
    <x v="0"/>
    <x v="0"/>
    <s v="Payroll Period 06.21.2026 to 07.04.2026 # PD 07.09.2026"/>
    <n v="474"/>
    <x v="35"/>
    <m/>
    <n v="25397.15"/>
    <n v="0"/>
    <s v="Room Attendant Wages - Payroll Period 06.21.2026 to 07.04.2026 # PD 07.09.2026"/>
    <m/>
    <m/>
  </r>
  <r>
    <s v="THG-00059"/>
    <x v="0"/>
    <x v="0"/>
    <s v="Payroll Period 06.21.2026 to 07.04.2026 # PD 07.09.2026"/>
    <n v="474"/>
    <x v="36"/>
    <m/>
    <n v="5080.13"/>
    <n v="0"/>
    <s v="Inspector Wages - Payroll Period 06.21.2026 to 07.04.2026 # PD 07.09.2026"/>
    <m/>
    <m/>
  </r>
  <r>
    <s v="THG-00059"/>
    <x v="0"/>
    <x v="0"/>
    <s v="Payroll Period 06.21.2026 to 07.04.2026 # PD 07.09.2026"/>
    <n v="474"/>
    <x v="37"/>
    <m/>
    <n v="5728.92"/>
    <n v="0"/>
    <s v="Houseperson Wages - Payroll Period 06.21.2026 to 07.04.2026 # PD 07.09.2026"/>
    <m/>
    <m/>
  </r>
  <r>
    <s v="THG-00059"/>
    <x v="0"/>
    <x v="0"/>
    <s v="Payroll Period 06.21.2026 to 07.04.2026 # PD 07.09.2026"/>
    <n v="474"/>
    <x v="38"/>
    <m/>
    <n v="4016.16"/>
    <n v="0"/>
    <s v="F&amp;B Manager Wages - Payroll Period 06.21.2026 to 07.04.2026 # PD 07.09.2026"/>
    <s v="01 Restaurant 1"/>
    <m/>
  </r>
  <r>
    <s v="THG-00059"/>
    <x v="0"/>
    <x v="0"/>
    <s v="Payroll Period 06.21.2026 to 07.04.2026 # PD 07.09.2026"/>
    <n v="474"/>
    <x v="39"/>
    <m/>
    <n v="3143.08"/>
    <n v="0"/>
    <s v="Exec Chef Wages - Payroll Period 06.21.2026 to 07.04.2026 # PD 07.09.2026"/>
    <s v="01 Restaurant 1"/>
    <m/>
  </r>
  <r>
    <s v="THG-00059"/>
    <x v="0"/>
    <x v="0"/>
    <s v="Payroll Period 06.21.2026 to 07.04.2026 # PD 07.09.2026"/>
    <n v="474"/>
    <x v="40"/>
    <m/>
    <n v="2845.39"/>
    <n v="0"/>
    <s v="Restaurant Manager Wages - Payroll Period 06.21.2026 to 07.04.2026 # PD 07.09.2026"/>
    <s v="01 Restaurant 1"/>
    <m/>
  </r>
  <r>
    <s v="THG-00059"/>
    <x v="0"/>
    <x v="0"/>
    <s v="Payroll Period 06.21.2026 to 07.04.2026 # PD 07.09.2026"/>
    <n v="474"/>
    <x v="41"/>
    <m/>
    <n v="281.81"/>
    <n v="0"/>
    <s v="Banq Server Wages - Payroll Period 06.21.2026 to 07.04.2026 # PD 07.09.2026"/>
    <s v="11 Banquets"/>
    <m/>
  </r>
  <r>
    <s v="THG-00059"/>
    <x v="0"/>
    <x v="0"/>
    <s v="Payroll Period 06.21.2026 to 07.04.2026 # PD 07.09.2026"/>
    <n v="474"/>
    <x v="42"/>
    <m/>
    <n v="5902.21"/>
    <n v="0"/>
    <s v="Server Wages - Payroll Period 06.21.2026 to 07.04.2026 # PD 07.09.2026"/>
    <s v="01 Restaurant 1"/>
    <m/>
  </r>
  <r>
    <s v="THG-00059"/>
    <x v="0"/>
    <x v="0"/>
    <s v="Payroll Period 06.21.2026 to 07.04.2026 # PD 07.09.2026"/>
    <n v="474"/>
    <x v="43"/>
    <m/>
    <n v="1117.6600000000001"/>
    <n v="0"/>
    <s v="Host Person Wages - Payroll Period 06.21.2026 to 07.04.2026 # PD 07.09.2026"/>
    <s v="01 Restaurant 1"/>
    <m/>
  </r>
  <r>
    <s v="THG-00059"/>
    <x v="0"/>
    <x v="0"/>
    <s v="Payroll Period 06.21.2026 to 07.04.2026 # PD 07.09.2026"/>
    <n v="474"/>
    <x v="44"/>
    <m/>
    <n v="14.25"/>
    <n v="0"/>
    <s v="Line Cook OT - Payroll Period 06.21.2026 to 07.04.2026 # PD 07.09.2026"/>
    <s v="01 Restaurant 1"/>
    <m/>
  </r>
  <r>
    <s v="THG-00059"/>
    <x v="0"/>
    <x v="0"/>
    <s v="Payroll Period 06.21.2026 to 07.04.2026 # PD 07.09.2026"/>
    <n v="474"/>
    <x v="45"/>
    <m/>
    <n v="9141.41"/>
    <n v="0"/>
    <s v="Line Cook Wages - Payroll Period 06.21.2026 to 07.04.2026 # PD 07.09.2026"/>
    <s v="01 Restaurant 1"/>
    <m/>
  </r>
  <r>
    <s v="THG-00059"/>
    <x v="0"/>
    <x v="0"/>
    <s v="Payroll Period 06.21.2026 to 07.04.2026 # PD 07.09.2026"/>
    <n v="474"/>
    <x v="46"/>
    <m/>
    <n v="2828.66"/>
    <n v="0"/>
    <s v="Kitchen Utility Wages - Payroll Period 06.21.2026 to 07.04.2026 # PD 07.09.2026"/>
    <s v="01 Restaurant 1"/>
    <m/>
  </r>
  <r>
    <s v="THG-00059"/>
    <x v="0"/>
    <x v="0"/>
    <s v="Payroll Period 06.21.2026 to 07.04.2026 # PD 07.09.2026"/>
    <n v="474"/>
    <x v="47"/>
    <m/>
    <n v="6238.39"/>
    <n v="0"/>
    <s v="Bartender Wages - Payroll Period 06.21.2026 to 07.04.2026 # PD 07.09.2026"/>
    <s v="01 Restaurant 1"/>
    <m/>
  </r>
  <r>
    <s v="THG-00059"/>
    <x v="0"/>
    <x v="0"/>
    <s v="Payroll Period 06.21.2026 to 07.04.2026 # PD 07.09.2026"/>
    <n v="474"/>
    <x v="48"/>
    <m/>
    <n v="5051.53"/>
    <n v="0"/>
    <s v="GM Wages - Payroll Period 06.21.2026 to 07.04.2026 # PD 07.09.2026"/>
    <m/>
    <m/>
  </r>
  <r>
    <s v="THG-00059"/>
    <x v="0"/>
    <x v="0"/>
    <s v="Payroll Period 06.21.2026 to 07.04.2026 # PD 07.09.2026"/>
    <n v="474"/>
    <x v="49"/>
    <m/>
    <n v="1356.74"/>
    <n v="0"/>
    <s v="HR Wages - Payroll Period 06.21.2026 to 07.04.2026 # PD 07.09.2026"/>
    <m/>
    <m/>
  </r>
  <r>
    <s v="THG-00059"/>
    <x v="0"/>
    <x v="0"/>
    <s v="Payroll Period 06.21.2026 to 07.04.2026 # PD 07.09.2026"/>
    <n v="474"/>
    <x v="50"/>
    <m/>
    <n v="7270.98"/>
    <n v="0"/>
    <s v="Accounting Wages - Payroll Period 06.21.2026 to 07.04.2026 # PD 07.09.2026"/>
    <m/>
    <m/>
  </r>
  <r>
    <s v="THG-00059"/>
    <x v="0"/>
    <x v="0"/>
    <s v="Payroll Period 06.21.2026 to 07.04.2026 # PD 07.09.2026"/>
    <n v="474"/>
    <x v="51"/>
    <m/>
    <n v="1557.69"/>
    <n v="0"/>
    <s v="DOS Wages - Payroll Period 06.21.2026 to 07.04.2026 # PD 07.09.2026"/>
    <m/>
    <m/>
  </r>
  <r>
    <s v="THG-00059"/>
    <x v="0"/>
    <x v="0"/>
    <s v="Payroll Period 06.21.2026 to 07.04.2026 # PD 07.09.2026"/>
    <n v="474"/>
    <x v="52"/>
    <m/>
    <n v="3115.39"/>
    <n v="0"/>
    <s v="Sales Manager Wages - Payroll Period 06.21.2026 to 07.04.2026 # PD 07.09.2026"/>
    <m/>
    <m/>
  </r>
  <r>
    <s v="THG-00059"/>
    <x v="0"/>
    <x v="0"/>
    <s v="Payroll Period 06.21.2026 to 07.04.2026 # PD 07.09.2026"/>
    <n v="474"/>
    <x v="53"/>
    <m/>
    <n v="2.0299999999999998"/>
    <n v="0"/>
    <s v="Sales Admin OT - Payroll Period 06.21.2026 to 07.04.2026 # PD 07.09.2026"/>
    <m/>
    <m/>
  </r>
  <r>
    <s v="THG-00059"/>
    <x v="0"/>
    <x v="0"/>
    <s v="Payroll Period 06.21.2026 to 07.04.2026 # PD 07.09.2026"/>
    <n v="474"/>
    <x v="54"/>
    <m/>
    <n v="2185.02"/>
    <n v="0"/>
    <s v="Sales Administrative Wages - Payroll Period 06.21.2026 to 07.04.2026 # PD 07.09.2026"/>
    <m/>
    <m/>
  </r>
  <r>
    <s v="THG-00059"/>
    <x v="0"/>
    <x v="0"/>
    <s v="Payroll Period 06.21.2026 to 07.04.2026 # PD 07.09.2026"/>
    <n v="474"/>
    <x v="55"/>
    <m/>
    <n v="3341.58"/>
    <n v="0"/>
    <s v="Maintenance Chief Wages - Payroll Period 06.21.2026 to 07.04.2026 # PD 07.09.2026"/>
    <m/>
    <m/>
  </r>
  <r>
    <s v="THG-00059"/>
    <x v="0"/>
    <x v="0"/>
    <s v="Payroll Period 06.21.2026 to 07.04.2026 # PD 07.09.2026"/>
    <n v="474"/>
    <x v="56"/>
    <m/>
    <n v="3182.35"/>
    <n v="0"/>
    <s v="Maint Tech Wages - Payroll Period 06.21.2026 to 07.04.2026 # PD 07.09.2026"/>
    <m/>
    <m/>
  </r>
  <r>
    <s v="THG-00059"/>
    <x v="1"/>
    <x v="0"/>
    <s v="Payroll Period 07.05.2026 to 07.18.2026 # PD 07.24.2026"/>
    <n v="474"/>
    <x v="0"/>
    <m/>
    <n v="0"/>
    <n v="2205.23"/>
    <s v="ADP Garnishment Liability - Payroll Period 07.05.2026 to 07.18.2026"/>
    <m/>
    <m/>
  </r>
  <r>
    <s v="THG-00059"/>
    <x v="1"/>
    <x v="0"/>
    <s v="Payroll Period 07.05.2026 to 07.18.2026 # PD 07.24.2026"/>
    <n v="474"/>
    <x v="0"/>
    <m/>
    <n v="0"/>
    <n v="117166.11"/>
    <s v="ADP Wagepay - Payroll Period 07.05.2026 to 07.18.2026"/>
    <m/>
    <m/>
  </r>
  <r>
    <s v="THG-00059"/>
    <x v="1"/>
    <x v="0"/>
    <s v="Payroll Period 07.05.2026 to 07.18.2026 # PD 07.24.2026"/>
    <n v="474"/>
    <x v="0"/>
    <m/>
    <n v="0"/>
    <n v="3253.9"/>
    <s v="Employee Benefits Contributions - Payroll Period 07.05.2026 to 07.18.2026"/>
    <m/>
    <m/>
  </r>
  <r>
    <s v="THG-00059"/>
    <x v="1"/>
    <x v="0"/>
    <s v="Payroll Period 07.05.2026 to 07.18.2026 # PD 07.24.2026"/>
    <n v="474"/>
    <x v="0"/>
    <m/>
    <n v="0"/>
    <n v="28025.7"/>
    <s v="Employee Tax Liability - Payroll Period 07.05.2026 to 07.18.2026"/>
    <m/>
    <m/>
  </r>
  <r>
    <s v="THG-00059"/>
    <x v="1"/>
    <x v="0"/>
    <s v="Payroll Period 07.05.2026 to 07.18.2026 # PD 07.24.2026"/>
    <n v="474"/>
    <x v="0"/>
    <m/>
    <n v="0"/>
    <n v="12846.47"/>
    <s v="Employer Benefits Cost - Payroll Period 07.05.2026 to 07.18.2026"/>
    <m/>
    <m/>
  </r>
  <r>
    <s v="THG-00059"/>
    <x v="1"/>
    <x v="0"/>
    <s v="Payroll Period 07.05.2026 to 07.18.2026 # PD 07.24.2026"/>
    <n v="474"/>
    <x v="0"/>
    <m/>
    <n v="0"/>
    <n v="13184.35"/>
    <s v="Employer Tax Liability - Payroll Period 07.05.2026 to 07.18.2026"/>
    <m/>
    <m/>
  </r>
  <r>
    <s v="THG-00059"/>
    <x v="1"/>
    <x v="0"/>
    <s v="Payroll Period 07.05.2026 to 07.18.2026 # PD 07.24.2026"/>
    <n v="474"/>
    <x v="1"/>
    <m/>
    <n v="10809.88"/>
    <n v="0"/>
    <s v="Charge Tips Paid - Payroll Period 07.05.2026 to 07.18.2026"/>
    <m/>
    <m/>
  </r>
  <r>
    <s v="THG-00059"/>
    <x v="1"/>
    <x v="0"/>
    <s v="Payroll Period 07.05.2026 to 07.18.2026 # PD 07.24.2026"/>
    <n v="474"/>
    <x v="2"/>
    <m/>
    <n v="0"/>
    <n v="7374.08"/>
    <s v="ADP Retirement Liability - Payroll Period 07.05.2026 to 07.18.2026"/>
    <m/>
    <m/>
  </r>
  <r>
    <s v="THG-00059"/>
    <x v="1"/>
    <x v="0"/>
    <s v="Payroll Period 07.05.2026 to 07.18.2026 # PD 07.24.2026"/>
    <n v="474"/>
    <x v="4"/>
    <m/>
    <n v="2730.94"/>
    <n v="0"/>
    <s v="Bonus and Incentive - Rooms - Payroll Period 07.05.2026 to 07.18.2026"/>
    <m/>
    <m/>
  </r>
  <r>
    <s v="THG-00059"/>
    <x v="1"/>
    <x v="0"/>
    <s v="Payroll Period 07.05.2026 to 07.18.2026 # PD 07.24.2026"/>
    <n v="474"/>
    <x v="5"/>
    <m/>
    <n v="32"/>
    <n v="0"/>
    <s v="Rooms Employer Tax - Payroll Period 07.05.2026 to 07.18.2026"/>
    <m/>
    <m/>
  </r>
  <r>
    <s v="THG-00059"/>
    <x v="1"/>
    <x v="0"/>
    <s v="Payroll Period 07.05.2026 to 07.18.2026 # PD 07.24.2026"/>
    <n v="474"/>
    <x v="5"/>
    <m/>
    <n v="5944.51"/>
    <n v="0"/>
    <s v="Rooms Employer Tax - Payroll Period 07.05.2026 to 07.18.2026"/>
    <m/>
    <m/>
  </r>
  <r>
    <s v="THG-00059"/>
    <x v="1"/>
    <x v="0"/>
    <s v="Payroll Period 07.05.2026 to 07.18.2026 # PD 07.24.2026"/>
    <n v="474"/>
    <x v="6"/>
    <m/>
    <n v="14.81"/>
    <n v="0"/>
    <s v="Employer Match Retirement - Payroll Period 07.05.2026 to 07.18.2026"/>
    <m/>
    <m/>
  </r>
  <r>
    <s v="THG-00059"/>
    <x v="1"/>
    <x v="0"/>
    <s v="Payroll Period 07.05.2026 to 07.18.2026 # PD 07.24.2026"/>
    <n v="474"/>
    <x v="6"/>
    <m/>
    <n v="5901.38"/>
    <n v="0"/>
    <s v="Employer Benefits Cost - Payroll Period 07.05.2026 to 07.18.2026"/>
    <m/>
    <m/>
  </r>
  <r>
    <s v="THG-00059"/>
    <x v="1"/>
    <x v="0"/>
    <s v="Payroll Period 07.05.2026 to 07.18.2026 # PD 07.24.2026"/>
    <n v="474"/>
    <x v="6"/>
    <m/>
    <n v="659.43"/>
    <n v="0"/>
    <s v="Employer Match Retirement - Payroll Period 07.05.2026 to 07.18.2026"/>
    <m/>
    <m/>
  </r>
  <r>
    <s v="THG-00059"/>
    <x v="1"/>
    <x v="0"/>
    <s v="Payroll Period 07.05.2026 to 07.18.2026 # PD 07.24.2026"/>
    <n v="474"/>
    <x v="7"/>
    <m/>
    <n v="731.02"/>
    <n v="0"/>
    <s v="Supplemental Pay - Payroll Period 07.05.2026 to 07.18.2026"/>
    <m/>
    <m/>
  </r>
  <r>
    <s v="THG-00059"/>
    <x v="1"/>
    <x v="0"/>
    <s v="Payroll Period 07.05.2026 to 07.18.2026 # PD 07.24.2026"/>
    <n v="474"/>
    <x v="8"/>
    <m/>
    <n v="0"/>
    <n v="19.34"/>
    <s v="Uniforms - Payroll Period 07.05.2026 to 07.18.2026"/>
    <m/>
    <m/>
  </r>
  <r>
    <s v="THG-00059"/>
    <x v="1"/>
    <x v="0"/>
    <s v="Payroll Period 07.05.2026 to 07.18.2026 # PD 07.24.2026"/>
    <n v="474"/>
    <x v="9"/>
    <m/>
    <n v="140.66"/>
    <n v="0"/>
    <s v="Bonus and Incentive - Payroll Period 07.05.2026 to 07.18.2026"/>
    <s v="01 Restaurant 1"/>
    <m/>
  </r>
  <r>
    <s v="THG-00059"/>
    <x v="1"/>
    <x v="0"/>
    <s v="Payroll Period 07.05.2026 to 07.18.2026 # PD 07.24.2026"/>
    <n v="474"/>
    <x v="10"/>
    <m/>
    <n v="3416.91"/>
    <n v="0"/>
    <s v="F&amp;B Employer Tax - Payroll Period 07.05.2026 to 07.18.2026"/>
    <s v="01 Restaurant 1"/>
    <m/>
  </r>
  <r>
    <s v="THG-00059"/>
    <x v="1"/>
    <x v="0"/>
    <s v="Payroll Period 07.05.2026 to 07.18.2026 # PD 07.24.2026"/>
    <n v="474"/>
    <x v="10"/>
    <m/>
    <n v="137.80000000000001"/>
    <n v="0"/>
    <s v="F&amp;B Employer Tax - Payroll Period 07.05.2026 to 07.18.2026"/>
    <s v="11 Banquets"/>
    <m/>
  </r>
  <r>
    <s v="THG-00059"/>
    <x v="1"/>
    <x v="0"/>
    <s v="Payroll Period 07.05.2026 to 07.18.2026 # PD 07.24.2026"/>
    <n v="474"/>
    <x v="11"/>
    <m/>
    <n v="3614.3"/>
    <n v="0"/>
    <s v="Employer Benefits Cost - Payroll Period 07.05.2026 to 07.18.2026"/>
    <s v="01 Restaurant 1"/>
    <m/>
  </r>
  <r>
    <s v="THG-00059"/>
    <x v="1"/>
    <x v="0"/>
    <s v="Payroll Period 07.05.2026 to 07.18.2026 # PD 07.24.2026"/>
    <n v="474"/>
    <x v="11"/>
    <m/>
    <n v="364.8"/>
    <n v="0"/>
    <s v="Employer Match Retirement - Payroll Period 07.05.2026 to 07.18.2026"/>
    <s v="01 Restaurant 1"/>
    <m/>
  </r>
  <r>
    <s v="THG-00059"/>
    <x v="1"/>
    <x v="0"/>
    <s v="Payroll Period 07.05.2026 to 07.18.2026 # PD 07.24.2026"/>
    <n v="474"/>
    <x v="12"/>
    <m/>
    <n v="244.87"/>
    <n v="0"/>
    <s v="Supplemental Pay - Payroll Period 07.05.2026 to 07.18.2026"/>
    <s v="01 Restaurant 1"/>
    <m/>
  </r>
  <r>
    <s v="THG-00059"/>
    <x v="1"/>
    <x v="0"/>
    <s v="Payroll Period 07.05.2026 to 07.18.2026 # PD 07.24.2026"/>
    <n v="474"/>
    <x v="13"/>
    <m/>
    <n v="889.3"/>
    <n v="0"/>
    <s v="Service Charges - Payroll Period 07.05.2026 to 07.18.2026"/>
    <s v="01 Restaurant 1"/>
    <m/>
  </r>
  <r>
    <s v="THG-00059"/>
    <x v="1"/>
    <x v="0"/>
    <s v="Payroll Period 07.05.2026 to 07.18.2026 # PD 07.24.2026"/>
    <n v="474"/>
    <x v="13"/>
    <m/>
    <n v="979.35"/>
    <n v="0"/>
    <s v="Service Charges - Payroll Period 07.05.2026 to 07.18.2026"/>
    <s v="11 Banquets"/>
    <m/>
  </r>
  <r>
    <s v="THG-00059"/>
    <x v="1"/>
    <x v="0"/>
    <s v="Payroll Period 07.05.2026 to 07.18.2026 # PD 07.24.2026"/>
    <n v="474"/>
    <x v="14"/>
    <m/>
    <n v="128.1"/>
    <n v="0"/>
    <s v="Service Charges - Payroll Period 07.05.2026 to 07.18.2026"/>
    <s v="01 Restaurant 1"/>
    <m/>
  </r>
  <r>
    <s v="THG-00059"/>
    <x v="1"/>
    <x v="0"/>
    <s v="Payroll Period 07.05.2026 to 07.18.2026 # PD 07.24.2026"/>
    <n v="474"/>
    <x v="57"/>
    <m/>
    <n v="300"/>
    <n v="0"/>
    <s v="Bonus and Incentive - Payroll Period 07.05.2026 to 07.18.2026"/>
    <s v="01 Restaurant 1"/>
    <m/>
  </r>
  <r>
    <s v="THG-00059"/>
    <x v="1"/>
    <x v="0"/>
    <s v="Payroll Period 07.05.2026 to 07.18.2026 # PD 07.24.2026"/>
    <n v="474"/>
    <x v="15"/>
    <m/>
    <n v="588.65"/>
    <n v="0"/>
    <s v="Bar Employer Tax - Payroll Period 07.05.2026 to 07.18.2026"/>
    <s v="01 Restaurant 1"/>
    <m/>
  </r>
  <r>
    <s v="THG-00059"/>
    <x v="1"/>
    <x v="0"/>
    <s v="Payroll Period 07.05.2026 to 07.18.2026 # PD 07.24.2026"/>
    <n v="474"/>
    <x v="16"/>
    <m/>
    <n v="521.52"/>
    <n v="0"/>
    <s v="Supplemental Pay - Payroll Period 07.05.2026 to 07.18.2026"/>
    <s v="01 Restaurant 1"/>
    <m/>
  </r>
  <r>
    <s v="THG-00059"/>
    <x v="1"/>
    <x v="0"/>
    <s v="Payroll Period 07.05.2026 to 07.18.2026 # PD 07.24.2026"/>
    <n v="474"/>
    <x v="17"/>
    <m/>
    <n v="1491.98"/>
    <n v="0"/>
    <s v="A&amp;G Employer Tax - Payroll Period 07.05.2026 to 07.18.2026"/>
    <m/>
    <m/>
  </r>
  <r>
    <s v="THG-00059"/>
    <x v="1"/>
    <x v="0"/>
    <s v="Payroll Period 07.05.2026 to 07.18.2026 # PD 07.24.2026"/>
    <n v="474"/>
    <x v="18"/>
    <m/>
    <n v="1708.4"/>
    <n v="0"/>
    <s v="Employer Benefits Cost - Payroll Period 07.05.2026 to 07.18.2026"/>
    <m/>
    <m/>
  </r>
  <r>
    <s v="THG-00059"/>
    <x v="1"/>
    <x v="0"/>
    <s v="Payroll Period 07.05.2026 to 07.18.2026 # PD 07.24.2026"/>
    <n v="474"/>
    <x v="18"/>
    <m/>
    <n v="639.57000000000005"/>
    <n v="0"/>
    <s v="Employer Match Retirement - Payroll Period 07.05.2026 to 07.18.2026"/>
    <m/>
    <m/>
  </r>
  <r>
    <s v="THG-00059"/>
    <x v="1"/>
    <x v="0"/>
    <s v="Payroll Period 07.05.2026 to 07.18.2026 # PD 07.24.2026"/>
    <n v="474"/>
    <x v="20"/>
    <m/>
    <n v="924.34"/>
    <n v="0"/>
    <s v="Sales Employer Tax - Payroll Period 07.05.2026 to 07.18.2026"/>
    <m/>
    <m/>
  </r>
  <r>
    <s v="THG-00059"/>
    <x v="1"/>
    <x v="0"/>
    <s v="Payroll Period 07.05.2026 to 07.18.2026 # PD 07.24.2026"/>
    <n v="474"/>
    <x v="21"/>
    <m/>
    <n v="1016.35"/>
    <n v="0"/>
    <s v="Employer Benefits Cost - Payroll Period 07.05.2026 to 07.18.2026"/>
    <m/>
    <m/>
  </r>
  <r>
    <s v="THG-00059"/>
    <x v="1"/>
    <x v="0"/>
    <s v="Payroll Period 07.05.2026 to 07.18.2026 # PD 07.24.2026"/>
    <n v="474"/>
    <x v="23"/>
    <m/>
    <n v="647.44000000000005"/>
    <n v="0"/>
    <s v="Maint Employer Tax - Payroll Period 07.05.2026 to 07.18.2026"/>
    <m/>
    <m/>
  </r>
  <r>
    <s v="THG-00059"/>
    <x v="1"/>
    <x v="0"/>
    <s v="Payroll Period 07.05.2026 to 07.18.2026 # PD 07.24.2026"/>
    <n v="474"/>
    <x v="24"/>
    <m/>
    <n v="606.04"/>
    <n v="0"/>
    <s v="Employer Benefits Cost - Payroll Period 07.05.2026 to 07.18.2026"/>
    <m/>
    <m/>
  </r>
  <r>
    <s v="THG-00059"/>
    <x v="1"/>
    <x v="0"/>
    <s v="Payroll Period 07.05.2026 to 07.18.2026 # PD 07.24.2026"/>
    <n v="474"/>
    <x v="24"/>
    <m/>
    <n v="133.94999999999999"/>
    <n v="0"/>
    <s v="Employer Match Retirement - Payroll Period 07.05.2026 to 07.18.2026"/>
    <m/>
    <m/>
  </r>
  <r>
    <s v="THG-00059"/>
    <x v="1"/>
    <x v="0"/>
    <s v="Payroll Period 07.05.2026 to 07.18.2026 # PD 07.24.2026"/>
    <n v="474"/>
    <x v="25"/>
    <m/>
    <n v="1689.76"/>
    <n v="0"/>
    <s v="Supplemental Pay - Payroll Period 07.05.2026 to 07.18.2026"/>
    <m/>
    <m/>
  </r>
  <r>
    <s v="THG-00059"/>
    <x v="1"/>
    <x v="0"/>
    <s v="Payroll Period 07.05.2026 to 07.18.2026 # PD 07.24.2026"/>
    <n v="474"/>
    <x v="26"/>
    <m/>
    <n v="72.69"/>
    <n v="0"/>
    <s v="Night Audit OT - Payroll Period 07.05.2026 to 07.18.2026"/>
    <m/>
    <m/>
  </r>
  <r>
    <s v="THG-00059"/>
    <x v="1"/>
    <x v="0"/>
    <s v="Payroll Period 07.05.2026 to 07.18.2026 # PD 07.24.2026"/>
    <n v="474"/>
    <x v="27"/>
    <m/>
    <n v="4220.41"/>
    <n v="0"/>
    <s v="Night Audit Wages - Payroll Period 07.05.2026 to 07.18.2026"/>
    <m/>
    <m/>
  </r>
  <r>
    <s v="THG-00059"/>
    <x v="1"/>
    <x v="0"/>
    <s v="Payroll Period 07.05.2026 to 07.18.2026 # PD 07.24.2026"/>
    <n v="474"/>
    <x v="28"/>
    <m/>
    <n v="3394.89"/>
    <n v="0"/>
    <s v="Guest Service Mgr Wages - Payroll Period 07.05.2026 to 07.18.2026"/>
    <m/>
    <m/>
  </r>
  <r>
    <s v="THG-00059"/>
    <x v="1"/>
    <x v="0"/>
    <s v="Payroll Period 07.05.2026 to 07.18.2026 # PD 07.24.2026"/>
    <n v="474"/>
    <x v="29"/>
    <m/>
    <n v="4315.3900000000003"/>
    <n v="0"/>
    <s v="Asst General Manager Wages - Payroll Period 07.05.2026 to 07.18.2026"/>
    <m/>
    <m/>
  </r>
  <r>
    <s v="THG-00059"/>
    <x v="1"/>
    <x v="0"/>
    <s v="Payroll Period 07.05.2026 to 07.18.2026 # PD 07.24.2026"/>
    <n v="474"/>
    <x v="30"/>
    <m/>
    <n v="24.64"/>
    <n v="0"/>
    <s v="Guest Svc Super OT - Payroll Period 07.05.2026 to 07.18.2026"/>
    <m/>
    <m/>
  </r>
  <r>
    <s v="THG-00059"/>
    <x v="1"/>
    <x v="0"/>
    <s v="Payroll Period 07.05.2026 to 07.18.2026 # PD 07.24.2026"/>
    <n v="474"/>
    <x v="31"/>
    <m/>
    <n v="2387.5100000000002"/>
    <n v="0"/>
    <s v="Guest Service Super Wages - Payroll Period 07.05.2026 to 07.18.2026"/>
    <m/>
    <m/>
  </r>
  <r>
    <s v="THG-00059"/>
    <x v="1"/>
    <x v="0"/>
    <s v="Payroll Period 07.05.2026 to 07.18.2026 # PD 07.24.2026"/>
    <n v="474"/>
    <x v="32"/>
    <m/>
    <n v="7663.18"/>
    <n v="0"/>
    <s v="Guest Service Wages - Payroll Period 07.05.2026 to 07.18.2026"/>
    <m/>
    <m/>
  </r>
  <r>
    <s v="THG-00059"/>
    <x v="1"/>
    <x v="0"/>
    <s v="Payroll Period 07.05.2026 to 07.18.2026 # PD 07.24.2026"/>
    <n v="474"/>
    <x v="58"/>
    <m/>
    <n v="142.51"/>
    <n v="0"/>
    <s v="Concierge OT - Payroll Period 07.05.2026 to 07.18.2026"/>
    <m/>
    <m/>
  </r>
  <r>
    <s v="THG-00059"/>
    <x v="1"/>
    <x v="0"/>
    <s v="Payroll Period 07.05.2026 to 07.18.2026 # PD 07.24.2026"/>
    <n v="474"/>
    <x v="33"/>
    <m/>
    <n v="2184"/>
    <n v="0"/>
    <s v="Concierge Wages - Payroll Period 07.05.2026 to 07.18.2026"/>
    <m/>
    <m/>
  </r>
  <r>
    <s v="THG-00059"/>
    <x v="1"/>
    <x v="0"/>
    <s v="Payroll Period 07.05.2026 to 07.18.2026 # PD 07.24.2026"/>
    <n v="474"/>
    <x v="34"/>
    <m/>
    <n v="3500.68"/>
    <n v="0"/>
    <s v="Exec Housekeeper Wages - Payroll Period 07.05.2026 to 07.18.2026"/>
    <m/>
    <m/>
  </r>
  <r>
    <s v="THG-00059"/>
    <x v="1"/>
    <x v="0"/>
    <s v="Payroll Period 07.05.2026 to 07.18.2026 # PD 07.24.2026"/>
    <n v="474"/>
    <x v="59"/>
    <m/>
    <n v="375.13"/>
    <n v="0"/>
    <s v="Room Attendant OT - Payroll Period 07.05.2026 to 07.18.2026"/>
    <m/>
    <m/>
  </r>
  <r>
    <s v="THG-00059"/>
    <x v="1"/>
    <x v="0"/>
    <s v="Payroll Period 07.05.2026 to 07.18.2026 # PD 07.24.2026"/>
    <n v="474"/>
    <x v="35"/>
    <m/>
    <n v="26913.360000000001"/>
    <n v="0"/>
    <s v="Room Attendant Wages - Payroll Period 07.05.2026 to 07.18.2026"/>
    <m/>
    <m/>
  </r>
  <r>
    <s v="THG-00059"/>
    <x v="1"/>
    <x v="0"/>
    <s v="Payroll Period 07.05.2026 to 07.18.2026 # PD 07.24.2026"/>
    <n v="474"/>
    <x v="36"/>
    <m/>
    <n v="5441.08"/>
    <n v="0"/>
    <s v="Inspector Wages - Payroll Period 07.05.2026 to 07.18.2026"/>
    <m/>
    <m/>
  </r>
  <r>
    <s v="THG-00059"/>
    <x v="1"/>
    <x v="0"/>
    <s v="Payroll Period 07.05.2026 to 07.18.2026 # PD 07.24.2026"/>
    <n v="474"/>
    <x v="60"/>
    <m/>
    <n v="113.62"/>
    <n v="0"/>
    <s v="Hskping Laundry Wages - Payroll Period 07.05.2026 to 07.18.2026"/>
    <m/>
    <m/>
  </r>
  <r>
    <s v="THG-00059"/>
    <x v="1"/>
    <x v="0"/>
    <s v="Payroll Period 07.05.2026 to 07.18.2026 # PD 07.24.2026"/>
    <n v="474"/>
    <x v="37"/>
    <m/>
    <n v="5585.62"/>
    <n v="0"/>
    <s v="Houseperson Wages - Payroll Period 07.05.2026 to 07.18.2026"/>
    <m/>
    <m/>
  </r>
  <r>
    <s v="THG-00059"/>
    <x v="1"/>
    <x v="0"/>
    <s v="Payroll Period 07.05.2026 to 07.18.2026 # PD 07.24.2026"/>
    <n v="474"/>
    <x v="38"/>
    <m/>
    <n v="4600"/>
    <n v="0"/>
    <s v="F&amp;B Manager Wages - Payroll Period 07.05.2026 to 07.18.2026"/>
    <s v="01 Restaurant 1"/>
    <m/>
  </r>
  <r>
    <s v="THG-00059"/>
    <x v="1"/>
    <x v="0"/>
    <s v="Payroll Period 07.05.2026 to 07.18.2026 # PD 07.24.2026"/>
    <n v="474"/>
    <x v="39"/>
    <m/>
    <n v="3600"/>
    <n v="0"/>
    <s v="Exec Chef Wages - Payroll Period 07.05.2026 to 07.18.2026"/>
    <s v="01 Restaurant 1"/>
    <m/>
  </r>
  <r>
    <s v="THG-00059"/>
    <x v="1"/>
    <x v="0"/>
    <s v="Payroll Period 07.05.2026 to 07.18.2026 # PD 07.24.2026"/>
    <n v="474"/>
    <x v="40"/>
    <m/>
    <n v="3161.54"/>
    <n v="0"/>
    <s v="Restaurant Manager Wages - Payroll Period 07.05.2026 to 07.18.2026"/>
    <s v="01 Restaurant 1"/>
    <m/>
  </r>
  <r>
    <s v="THG-00059"/>
    <x v="1"/>
    <x v="0"/>
    <s v="Payroll Period 07.05.2026 to 07.18.2026 # PD 07.24.2026"/>
    <n v="474"/>
    <x v="41"/>
    <m/>
    <n v="511.53"/>
    <n v="0"/>
    <s v="Banq Server Wages - Payroll Period 07.05.2026 to 07.18.2026"/>
    <s v="11 Banquets"/>
    <m/>
  </r>
  <r>
    <s v="THG-00059"/>
    <x v="1"/>
    <x v="0"/>
    <s v="Payroll Period 07.05.2026 to 07.18.2026 # PD 07.24.2026"/>
    <n v="474"/>
    <x v="42"/>
    <m/>
    <n v="5397.11"/>
    <n v="0"/>
    <s v="Server Wages - Payroll Period 07.05.2026 to 07.18.2026"/>
    <s v="01 Restaurant 1"/>
    <m/>
  </r>
  <r>
    <s v="THG-00059"/>
    <x v="1"/>
    <x v="0"/>
    <s v="Payroll Period 07.05.2026 to 07.18.2026 # PD 07.24.2026"/>
    <n v="474"/>
    <x v="43"/>
    <m/>
    <n v="1406.27"/>
    <n v="0"/>
    <s v="Host Person Wages - Payroll Period 07.05.2026 to 07.18.2026"/>
    <s v="01 Restaurant 1"/>
    <m/>
  </r>
  <r>
    <s v="THG-00059"/>
    <x v="1"/>
    <x v="0"/>
    <s v="Payroll Period 07.05.2026 to 07.18.2026 # PD 07.24.2026"/>
    <n v="474"/>
    <x v="44"/>
    <m/>
    <n v="96.97"/>
    <n v="0"/>
    <s v="Line Cook OT - Payroll Period 07.05.2026 to 07.18.2026"/>
    <s v="01 Restaurant 1"/>
    <m/>
  </r>
  <r>
    <s v="THG-00059"/>
    <x v="1"/>
    <x v="0"/>
    <s v="Payroll Period 07.05.2026 to 07.18.2026 # PD 07.24.2026"/>
    <n v="474"/>
    <x v="45"/>
    <m/>
    <n v="8329.52"/>
    <n v="0"/>
    <s v="Line Cook Wages - Payroll Period 07.05.2026 to 07.18.2026"/>
    <s v="01 Restaurant 1"/>
    <m/>
  </r>
  <r>
    <s v="THG-00059"/>
    <x v="1"/>
    <x v="0"/>
    <s v="Payroll Period 07.05.2026 to 07.18.2026 # PD 07.24.2026"/>
    <n v="474"/>
    <x v="46"/>
    <m/>
    <n v="2948.07"/>
    <n v="0"/>
    <s v="Kitchen Utility Wages - Payroll Period 07.05.2026 to 07.18.2026"/>
    <s v="01 Restaurant 1"/>
    <m/>
  </r>
  <r>
    <s v="THG-00059"/>
    <x v="1"/>
    <x v="0"/>
    <s v="Payroll Period 07.05.2026 to 07.18.2026 # PD 07.24.2026"/>
    <n v="474"/>
    <x v="47"/>
    <m/>
    <n v="5474.11"/>
    <n v="0"/>
    <s v="Bartender Wages - Payroll Period 07.05.2026 to 07.18.2026"/>
    <s v="01 Restaurant 1"/>
    <m/>
  </r>
  <r>
    <s v="THG-00059"/>
    <x v="1"/>
    <x v="0"/>
    <s v="Payroll Period 07.05.2026 to 07.18.2026 # PD 07.24.2026"/>
    <n v="474"/>
    <x v="48"/>
    <m/>
    <n v="6424.64"/>
    <n v="0"/>
    <s v="GM Wages - Payroll Period 07.05.2026 to 07.18.2026"/>
    <m/>
    <m/>
  </r>
  <r>
    <s v="THG-00059"/>
    <x v="1"/>
    <x v="0"/>
    <s v="Payroll Period 07.05.2026 to 07.18.2026 # PD 07.24.2026"/>
    <n v="474"/>
    <x v="49"/>
    <m/>
    <n v="3459.69"/>
    <n v="0"/>
    <s v="HR Wages - Payroll Period 07.05.2026 to 07.18.2026"/>
    <m/>
    <m/>
  </r>
  <r>
    <s v="THG-00059"/>
    <x v="1"/>
    <x v="0"/>
    <s v="Payroll Period 07.05.2026 to 07.18.2026 # PD 07.24.2026"/>
    <n v="474"/>
    <x v="50"/>
    <m/>
    <n v="8699.64"/>
    <n v="0"/>
    <s v="Accounting Wages - Payroll Period 07.05.2026 to 07.18.2026"/>
    <m/>
    <m/>
  </r>
  <r>
    <s v="THG-00059"/>
    <x v="1"/>
    <x v="0"/>
    <s v="Payroll Period 07.05.2026 to 07.18.2026 # PD 07.24.2026"/>
    <n v="474"/>
    <x v="51"/>
    <m/>
    <n v="5192.3100000000004"/>
    <n v="0"/>
    <s v="DOS Wages - Payroll Period 07.05.2026 to 07.18.2026"/>
    <m/>
    <m/>
  </r>
  <r>
    <s v="THG-00059"/>
    <x v="1"/>
    <x v="0"/>
    <s v="Payroll Period 07.05.2026 to 07.18.2026 # PD 07.24.2026"/>
    <n v="474"/>
    <x v="52"/>
    <m/>
    <n v="3461.54"/>
    <n v="0"/>
    <s v="Sales Manager Wages - Payroll Period 07.05.2026 to 07.18.2026"/>
    <m/>
    <m/>
  </r>
  <r>
    <s v="THG-00059"/>
    <x v="1"/>
    <x v="0"/>
    <s v="Payroll Period 07.05.2026 to 07.18.2026 # PD 07.24.2026"/>
    <n v="474"/>
    <x v="53"/>
    <m/>
    <n v="6.32"/>
    <n v="0"/>
    <s v="Sales Admin OT - Payroll Period 07.05.2026 to 07.18.2026"/>
    <m/>
    <m/>
  </r>
  <r>
    <s v="THG-00059"/>
    <x v="1"/>
    <x v="0"/>
    <s v="Payroll Period 07.05.2026 to 07.18.2026 # PD 07.24.2026"/>
    <n v="474"/>
    <x v="54"/>
    <m/>
    <n v="2087.75"/>
    <n v="0"/>
    <s v="Sales Administrative Wages - Payroll Period 07.05.2026 to 07.18.2026"/>
    <m/>
    <m/>
  </r>
  <r>
    <s v="THG-00059"/>
    <x v="1"/>
    <x v="0"/>
    <s v="Payroll Period 07.05.2026 to 07.18.2026 # PD 07.24.2026"/>
    <n v="474"/>
    <x v="55"/>
    <m/>
    <n v="3731.69"/>
    <n v="0"/>
    <s v="Maintenance Chief Wages - Payroll Period 07.05.2026 to 07.18.2026"/>
    <m/>
    <m/>
  </r>
  <r>
    <s v="THG-00059"/>
    <x v="1"/>
    <x v="0"/>
    <s v="Payroll Period 07.05.2026 to 07.18.2026 # PD 07.24.2026"/>
    <n v="474"/>
    <x v="56"/>
    <m/>
    <n v="2143.71"/>
    <n v="0"/>
    <s v="Maint Tech Wages - Payroll Period 07.05.2026 to 07.18.202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C7CC0-8550-41C9-A75E-D94481FC37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etSuite GL#">
  <location ref="A1:G38" firstHeaderRow="1" firstDataRow="3" firstDataCol="1"/>
  <pivotFields count="12">
    <pivotField showAll="0"/>
    <pivotField axis="axisCol" numFmtId="14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axis="axisRow" showAll="0">
      <items count="6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57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x="26"/>
        <item x="27"/>
        <item x="28"/>
        <item x="29"/>
        <item x="30"/>
        <item x="31"/>
        <item x="32"/>
        <item x="58"/>
        <item x="33"/>
        <item x="34"/>
        <item x="59"/>
        <item x="35"/>
        <item x="36"/>
        <item x="60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5"/>
  </rowFields>
  <rowItems count="35"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Debit" fld="7" baseField="0" baseItem="0"/>
    <dataField name="Sum of Cred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58B3-5414-4942-B960-16DA4AD14A73}">
  <dimension ref="A1:L38"/>
  <sheetViews>
    <sheetView workbookViewId="0">
      <selection activeCell="A3" sqref="A3:L37"/>
    </sheetView>
  </sheetViews>
  <sheetFormatPr defaultRowHeight="15" x14ac:dyDescent="0.25"/>
  <cols>
    <col min="1" max="1" width="15.140625" bestFit="1" customWidth="1"/>
    <col min="2" max="2" width="16.85546875" hidden="1" customWidth="1"/>
    <col min="3" max="3" width="10.42578125" hidden="1" customWidth="1"/>
    <col min="4" max="4" width="13.5703125" hidden="1" customWidth="1"/>
    <col min="5" max="5" width="10.42578125" hidden="1" customWidth="1"/>
    <col min="6" max="6" width="17.85546875" hidden="1" customWidth="1"/>
    <col min="7" max="7" width="18.5703125" hidden="1" customWidth="1"/>
    <col min="8" max="8" width="9" hidden="1" customWidth="1"/>
    <col min="9" max="9" width="27.42578125" bestFit="1" customWidth="1"/>
    <col min="10" max="10" width="38.5703125" bestFit="1" customWidth="1"/>
    <col min="11" max="11" width="31.7109375" bestFit="1" customWidth="1"/>
    <col min="12" max="12" width="18.42578125" bestFit="1" customWidth="1"/>
  </cols>
  <sheetData>
    <row r="1" spans="1:12" x14ac:dyDescent="0.25">
      <c r="B1" s="4" t="s">
        <v>160</v>
      </c>
    </row>
    <row r="2" spans="1:12" x14ac:dyDescent="0.25">
      <c r="B2" t="s">
        <v>157</v>
      </c>
      <c r="D2" t="s">
        <v>158</v>
      </c>
      <c r="F2" t="s">
        <v>161</v>
      </c>
      <c r="G2" t="s">
        <v>162</v>
      </c>
    </row>
    <row r="3" spans="1:12" x14ac:dyDescent="0.25">
      <c r="A3" s="4" t="s">
        <v>707</v>
      </c>
      <c r="B3" s="1">
        <v>46207</v>
      </c>
      <c r="C3" s="1">
        <v>46221</v>
      </c>
      <c r="D3" s="1">
        <v>46207</v>
      </c>
      <c r="E3" s="1">
        <v>46221</v>
      </c>
      <c r="H3" s="3" t="s">
        <v>1306</v>
      </c>
      <c r="I3" s="3" t="s">
        <v>705</v>
      </c>
      <c r="J3" s="3" t="s">
        <v>706</v>
      </c>
      <c r="K3" s="3" t="s">
        <v>708</v>
      </c>
      <c r="L3" s="5" t="s">
        <v>1034</v>
      </c>
    </row>
    <row r="4" spans="1:12" x14ac:dyDescent="0.25">
      <c r="A4" s="2" t="s">
        <v>37</v>
      </c>
      <c r="B4">
        <v>82.22</v>
      </c>
      <c r="C4">
        <v>72.69</v>
      </c>
      <c r="D4">
        <v>0</v>
      </c>
      <c r="E4">
        <v>0</v>
      </c>
      <c r="F4">
        <v>154.91</v>
      </c>
      <c r="G4">
        <v>0</v>
      </c>
      <c r="H4">
        <f>+B4+C4</f>
        <v>154.91</v>
      </c>
      <c r="I4" t="str">
        <f>+VLOOKUP(A4,[1]Final!$A:$E,5,0)</f>
        <v>Night Audit</v>
      </c>
      <c r="J4" t="str">
        <f>+VLOOKUP(A4,[1]Final!$A:$G,7,0)</f>
        <v>Night Auditor Overtime</v>
      </c>
      <c r="K4" t="s">
        <v>1309</v>
      </c>
      <c r="L4">
        <f>+VLOOKUP($A4,IncomeStatement!$A:$F,6,0)</f>
        <v>356.01</v>
      </c>
    </row>
    <row r="5" spans="1:12" x14ac:dyDescent="0.25">
      <c r="A5" s="2" t="s">
        <v>39</v>
      </c>
      <c r="B5">
        <v>4558.08</v>
      </c>
      <c r="C5">
        <v>4220.41</v>
      </c>
      <c r="D5">
        <v>0</v>
      </c>
      <c r="E5">
        <v>0</v>
      </c>
      <c r="F5">
        <v>8778.49</v>
      </c>
      <c r="G5">
        <v>0</v>
      </c>
      <c r="H5">
        <f t="shared" ref="H5:H37" si="0">+B5+C5</f>
        <v>8778.49</v>
      </c>
      <c r="I5" t="str">
        <f>+VLOOKUP(A5,[1]Final!$A:$E,5,0)</f>
        <v>Night Audit</v>
      </c>
      <c r="J5" t="str">
        <f>+VLOOKUP(A5,[1]Final!$A:$G,7,0)</f>
        <v>Night Auditor Regular Pay</v>
      </c>
      <c r="K5" t="s">
        <v>1309</v>
      </c>
      <c r="L5" t="e">
        <f>+VLOOKUP($A5,IncomeStatement!$A:$F,6,0)</f>
        <v>#N/A</v>
      </c>
    </row>
    <row r="6" spans="1:12" x14ac:dyDescent="0.25">
      <c r="A6" s="2" t="s">
        <v>41</v>
      </c>
      <c r="B6">
        <v>2624.51</v>
      </c>
      <c r="C6">
        <v>3394.89</v>
      </c>
      <c r="D6">
        <v>0</v>
      </c>
      <c r="E6">
        <v>0</v>
      </c>
      <c r="F6">
        <v>6019.4</v>
      </c>
      <c r="G6">
        <v>0</v>
      </c>
      <c r="H6">
        <f t="shared" si="0"/>
        <v>6019.4</v>
      </c>
      <c r="I6" t="str">
        <f>+VLOOKUP(A6,[1]Final!$A:$E,5,0)</f>
        <v>Guest Service Management</v>
      </c>
      <c r="J6" t="str">
        <f>+VLOOKUP(A6,[1]Final!$A:$G,7,0)</f>
        <v>Guest Service Manager Regular Pay</v>
      </c>
      <c r="K6" t="s">
        <v>1308</v>
      </c>
      <c r="L6" t="e">
        <f>+VLOOKUP($A6,IncomeStatement!$A:$F,6,0)</f>
        <v>#N/A</v>
      </c>
    </row>
    <row r="7" spans="1:12" x14ac:dyDescent="0.25">
      <c r="A7" s="2" t="s">
        <v>43</v>
      </c>
      <c r="B7">
        <v>3824.62</v>
      </c>
      <c r="C7">
        <v>4315.3900000000003</v>
      </c>
      <c r="D7">
        <v>0</v>
      </c>
      <c r="E7">
        <v>0</v>
      </c>
      <c r="F7">
        <v>8140.01</v>
      </c>
      <c r="G7">
        <v>0</v>
      </c>
      <c r="H7">
        <f t="shared" si="0"/>
        <v>8140.01</v>
      </c>
      <c r="I7" t="str">
        <f>+VLOOKUP(A7,[1]Final!$A:$E,5,0)</f>
        <v>Rooms Division Manager</v>
      </c>
      <c r="J7" t="str">
        <f>+VLOOKUP(A7,[1]Final!$A:$G,7,0)</f>
        <v>Rooms Division Manager Regular Pay</v>
      </c>
      <c r="K7" t="s">
        <v>1308</v>
      </c>
      <c r="L7" t="e">
        <f>+VLOOKUP($A7,IncomeStatement!$A:$F,6,0)</f>
        <v>#N/A</v>
      </c>
    </row>
    <row r="8" spans="1:12" x14ac:dyDescent="0.25">
      <c r="A8" s="2" t="s">
        <v>45</v>
      </c>
      <c r="B8">
        <v>0.87</v>
      </c>
      <c r="C8">
        <v>24.64</v>
      </c>
      <c r="D8">
        <v>0</v>
      </c>
      <c r="E8">
        <v>0</v>
      </c>
      <c r="F8">
        <v>25.51</v>
      </c>
      <c r="G8">
        <v>0</v>
      </c>
      <c r="H8">
        <f t="shared" si="0"/>
        <v>25.51</v>
      </c>
      <c r="I8" t="str">
        <f>+VLOOKUP(A8,[1]Final!$A:$E,5,0)</f>
        <v>Guest Service Supervisor</v>
      </c>
      <c r="J8" t="str">
        <f>+VLOOKUP(A8,[1]Final!$A:$G,7,0)</f>
        <v>Guest Service Supervisor Overtime</v>
      </c>
      <c r="K8" t="s">
        <v>1307</v>
      </c>
      <c r="L8">
        <f>+VLOOKUP($A8,IncomeStatement!$A:$F,6,0)</f>
        <v>182.38</v>
      </c>
    </row>
    <row r="9" spans="1:12" x14ac:dyDescent="0.25">
      <c r="A9" s="2" t="s">
        <v>47</v>
      </c>
      <c r="B9">
        <v>2673.13</v>
      </c>
      <c r="C9">
        <v>2387.5100000000002</v>
      </c>
      <c r="D9">
        <v>0</v>
      </c>
      <c r="E9">
        <v>0</v>
      </c>
      <c r="F9">
        <v>5060.6400000000003</v>
      </c>
      <c r="G9">
        <v>0</v>
      </c>
      <c r="H9">
        <f t="shared" si="0"/>
        <v>5060.6400000000003</v>
      </c>
      <c r="I9" t="str">
        <f>+VLOOKUP(A9,[1]Final!$A:$E,5,0)</f>
        <v>Guest Service Supervisor</v>
      </c>
      <c r="J9" t="str">
        <f>+VLOOKUP(A9,[1]Final!$A:$G,7,0)</f>
        <v>Guest Service Supervisor Regular Pay</v>
      </c>
      <c r="K9" t="s">
        <v>1307</v>
      </c>
      <c r="L9" t="e">
        <f>+VLOOKUP($A9,IncomeStatement!$A:$F,6,0)</f>
        <v>#N/A</v>
      </c>
    </row>
    <row r="10" spans="1:12" x14ac:dyDescent="0.25">
      <c r="A10" s="2" t="s">
        <v>49</v>
      </c>
      <c r="B10">
        <v>7748.01</v>
      </c>
      <c r="C10">
        <v>7663.18</v>
      </c>
      <c r="D10">
        <v>0</v>
      </c>
      <c r="E10">
        <v>0</v>
      </c>
      <c r="F10">
        <v>15411.19</v>
      </c>
      <c r="G10">
        <v>0</v>
      </c>
      <c r="H10">
        <f t="shared" si="0"/>
        <v>15411.19</v>
      </c>
      <c r="I10" t="str">
        <f>+VLOOKUP(A10,[1]Final!$A:$E,5,0)</f>
        <v>Guest Service Representatives</v>
      </c>
      <c r="J10" t="str">
        <f>+VLOOKUP(A10,[1]Final!$A:$G,7,0)</f>
        <v>Guest Service Representatives Regular Pay</v>
      </c>
      <c r="K10" t="s">
        <v>1307</v>
      </c>
      <c r="L10" t="e">
        <f>+VLOOKUP($A10,IncomeStatement!$A:$F,6,0)</f>
        <v>#N/A</v>
      </c>
    </row>
    <row r="11" spans="1:12" x14ac:dyDescent="0.25">
      <c r="A11" s="2" t="s">
        <v>127</v>
      </c>
      <c r="C11">
        <v>142.51</v>
      </c>
      <c r="E11">
        <v>0</v>
      </c>
      <c r="F11">
        <v>142.51</v>
      </c>
      <c r="G11">
        <v>0</v>
      </c>
      <c r="H11">
        <f t="shared" si="0"/>
        <v>142.51</v>
      </c>
      <c r="I11" t="str">
        <f>+VLOOKUP(A11,[1]Final!$A:$E,5,0)</f>
        <v>Concierge</v>
      </c>
      <c r="J11" t="str">
        <f>+VLOOKUP(A11,[1]Final!$A:$G,7,0)</f>
        <v>Concierge Overtime</v>
      </c>
      <c r="K11" t="s">
        <v>1309</v>
      </c>
      <c r="L11">
        <f>+VLOOKUP($A11,IncomeStatement!$A:$F,6,0)</f>
        <v>252.39999999999998</v>
      </c>
    </row>
    <row r="12" spans="1:12" x14ac:dyDescent="0.25">
      <c r="A12" s="2" t="s">
        <v>51</v>
      </c>
      <c r="B12">
        <v>2772.58</v>
      </c>
      <c r="C12">
        <v>2184</v>
      </c>
      <c r="D12">
        <v>0</v>
      </c>
      <c r="E12">
        <v>0</v>
      </c>
      <c r="F12">
        <v>4956.58</v>
      </c>
      <c r="G12">
        <v>0</v>
      </c>
      <c r="H12">
        <f t="shared" si="0"/>
        <v>4956.58</v>
      </c>
      <c r="I12" t="str">
        <f>+VLOOKUP(A12,[1]Final!$A:$E,5,0)</f>
        <v>Concierge</v>
      </c>
      <c r="J12" t="str">
        <f>+VLOOKUP(A12,[1]Final!$A:$G,7,0)</f>
        <v>Concierge Regular Pay</v>
      </c>
      <c r="K12" t="s">
        <v>1309</v>
      </c>
      <c r="L12" t="e">
        <f>+VLOOKUP($A12,IncomeStatement!$A:$F,6,0)</f>
        <v>#N/A</v>
      </c>
    </row>
    <row r="13" spans="1:12" x14ac:dyDescent="0.25">
      <c r="A13" s="2" t="s">
        <v>53</v>
      </c>
      <c r="B13">
        <v>3056.37</v>
      </c>
      <c r="C13">
        <v>3500.68</v>
      </c>
      <c r="D13">
        <v>0</v>
      </c>
      <c r="E13">
        <v>0</v>
      </c>
      <c r="F13">
        <v>6557.0499999999993</v>
      </c>
      <c r="G13">
        <v>0</v>
      </c>
      <c r="H13">
        <f t="shared" si="0"/>
        <v>6557.0499999999993</v>
      </c>
      <c r="I13" t="str">
        <f>+VLOOKUP(A13,[1]Final!$A:$E,5,0)</f>
        <v>Executive Housekeeper</v>
      </c>
      <c r="J13" t="str">
        <f>+VLOOKUP(A13,[1]Final!$A:$G,7,0)</f>
        <v>Executive Housekeeper Regular Pay</v>
      </c>
      <c r="K13" t="s">
        <v>1308</v>
      </c>
      <c r="L13" t="e">
        <f>+VLOOKUP($A13,IncomeStatement!$A:$F,6,0)</f>
        <v>#N/A</v>
      </c>
    </row>
    <row r="14" spans="1:12" x14ac:dyDescent="0.25">
      <c r="A14" s="2" t="s">
        <v>131</v>
      </c>
      <c r="C14">
        <v>375.13</v>
      </c>
      <c r="E14">
        <v>0</v>
      </c>
      <c r="F14">
        <v>375.13</v>
      </c>
      <c r="G14">
        <v>0</v>
      </c>
      <c r="H14">
        <f t="shared" si="0"/>
        <v>375.13</v>
      </c>
      <c r="I14" t="str">
        <f>+VLOOKUP(A14,[1]Final!$A:$E,5,0)</f>
        <v>Housekeeping</v>
      </c>
      <c r="J14" t="str">
        <f>+VLOOKUP(A14,[1]Final!$A:$G,7,0)</f>
        <v>Room Attendants Overtime</v>
      </c>
      <c r="K14" t="s">
        <v>221</v>
      </c>
      <c r="L14">
        <f>+VLOOKUP($A14,IncomeStatement!$A:$F,6,0)</f>
        <v>375.82</v>
      </c>
    </row>
    <row r="15" spans="1:12" x14ac:dyDescent="0.25">
      <c r="A15" s="2" t="s">
        <v>55</v>
      </c>
      <c r="B15">
        <v>25397.15</v>
      </c>
      <c r="C15">
        <v>26913.360000000001</v>
      </c>
      <c r="D15">
        <v>0</v>
      </c>
      <c r="E15">
        <v>0</v>
      </c>
      <c r="F15">
        <v>52310.51</v>
      </c>
      <c r="G15">
        <v>0</v>
      </c>
      <c r="H15">
        <f t="shared" si="0"/>
        <v>52310.51</v>
      </c>
      <c r="I15" t="str">
        <f>+VLOOKUP(A15,[1]Final!$A:$E,5,0)</f>
        <v>Housekeeping</v>
      </c>
      <c r="J15" t="str">
        <f>+VLOOKUP(A15,[1]Final!$A:$G,7,0)</f>
        <v>Room Attendants Regular Pay</v>
      </c>
      <c r="K15" t="s">
        <v>221</v>
      </c>
      <c r="L15" t="e">
        <f>+VLOOKUP($A15,IncomeStatement!$A:$F,6,0)</f>
        <v>#N/A</v>
      </c>
    </row>
    <row r="16" spans="1:12" x14ac:dyDescent="0.25">
      <c r="A16" s="2" t="s">
        <v>57</v>
      </c>
      <c r="B16">
        <v>5080.13</v>
      </c>
      <c r="C16">
        <v>5441.08</v>
      </c>
      <c r="D16">
        <v>0</v>
      </c>
      <c r="E16">
        <v>0</v>
      </c>
      <c r="F16">
        <v>10521.21</v>
      </c>
      <c r="G16">
        <v>0</v>
      </c>
      <c r="H16">
        <f t="shared" si="0"/>
        <v>10521.21</v>
      </c>
      <c r="I16" t="str">
        <f>+VLOOKUP(A16,[1]Final!$A:$E,5,0)</f>
        <v>Housekeeping Inspector</v>
      </c>
      <c r="J16" t="str">
        <f>+VLOOKUP(A16,[1]Final!$A:$G,7,0)</f>
        <v>Inspectors Regular Pay</v>
      </c>
      <c r="K16" t="s">
        <v>221</v>
      </c>
      <c r="L16" t="e">
        <f>+VLOOKUP($A16,IncomeStatement!$A:$F,6,0)</f>
        <v>#N/A</v>
      </c>
    </row>
    <row r="17" spans="1:12" x14ac:dyDescent="0.25">
      <c r="A17" s="2" t="s">
        <v>135</v>
      </c>
      <c r="C17">
        <v>113.62</v>
      </c>
      <c r="E17">
        <v>0</v>
      </c>
      <c r="F17">
        <v>113.62</v>
      </c>
      <c r="G17">
        <v>0</v>
      </c>
      <c r="H17">
        <f t="shared" si="0"/>
        <v>113.62</v>
      </c>
      <c r="I17" t="str">
        <f>+VLOOKUP(A17,[1]Final!$A:$E,5,0)</f>
        <v>Laundry</v>
      </c>
      <c r="J17" t="str">
        <f>+VLOOKUP(A17,[1]Final!$A:$G,7,0)</f>
        <v>Laundry Persons Regular Pay</v>
      </c>
      <c r="K17" t="s">
        <v>246</v>
      </c>
      <c r="L17" t="e">
        <f>+VLOOKUP($A17,IncomeStatement!$A:$F,6,0)</f>
        <v>#N/A</v>
      </c>
    </row>
    <row r="18" spans="1:12" x14ac:dyDescent="0.25">
      <c r="A18" s="2" t="s">
        <v>59</v>
      </c>
      <c r="B18">
        <v>5728.92</v>
      </c>
      <c r="C18">
        <v>5585.62</v>
      </c>
      <c r="D18">
        <v>0</v>
      </c>
      <c r="E18">
        <v>0</v>
      </c>
      <c r="F18">
        <v>11314.54</v>
      </c>
      <c r="G18">
        <v>0</v>
      </c>
      <c r="H18">
        <f t="shared" si="0"/>
        <v>11314.54</v>
      </c>
      <c r="I18" t="str">
        <f>+VLOOKUP(A18,[1]Final!$A:$E,5,0)</f>
        <v>House Person</v>
      </c>
      <c r="J18" t="str">
        <f>+VLOOKUP(A18,[1]Final!$A:$G,7,0)</f>
        <v>House Persons Regular Pay</v>
      </c>
      <c r="K18" t="s">
        <v>221</v>
      </c>
      <c r="L18" t="e">
        <f>+VLOOKUP($A18,IncomeStatement!$A:$F,6,0)</f>
        <v>#N/A</v>
      </c>
    </row>
    <row r="19" spans="1:12" x14ac:dyDescent="0.25">
      <c r="A19" s="2" t="s">
        <v>61</v>
      </c>
      <c r="B19">
        <v>4016.16</v>
      </c>
      <c r="C19">
        <v>4600</v>
      </c>
      <c r="D19">
        <v>0</v>
      </c>
      <c r="E19">
        <v>0</v>
      </c>
      <c r="F19">
        <v>8616.16</v>
      </c>
      <c r="G19">
        <v>0</v>
      </c>
      <c r="H19">
        <f t="shared" si="0"/>
        <v>8616.16</v>
      </c>
      <c r="I19" t="str">
        <f>+VLOOKUP(A19,[1]Final!$A:$E,5,0)</f>
        <v>F&amp;B Management</v>
      </c>
      <c r="J19" t="str">
        <f>+VLOOKUP(A19,[1]Final!$A:$G,7,0)</f>
        <v>Food &amp; Beverage Manager Regular Pay</v>
      </c>
      <c r="K19" t="s">
        <v>1312</v>
      </c>
      <c r="L19" t="e">
        <f>+VLOOKUP($A19,IncomeStatement!$A:$F,6,0)</f>
        <v>#N/A</v>
      </c>
    </row>
    <row r="20" spans="1:12" x14ac:dyDescent="0.25">
      <c r="A20" s="2" t="s">
        <v>63</v>
      </c>
      <c r="B20">
        <v>3143.08</v>
      </c>
      <c r="C20">
        <v>3600</v>
      </c>
      <c r="D20">
        <v>0</v>
      </c>
      <c r="E20">
        <v>0</v>
      </c>
      <c r="F20">
        <v>6743.08</v>
      </c>
      <c r="G20">
        <v>0</v>
      </c>
      <c r="H20">
        <f t="shared" si="0"/>
        <v>6743.08</v>
      </c>
      <c r="I20" t="str">
        <f>+VLOOKUP(A20,[1]Final!$A:$E,5,0)</f>
        <v>Executive Chef</v>
      </c>
      <c r="J20" t="str">
        <f>+VLOOKUP(A20,[1]Final!$A:$G,7,0)</f>
        <v>Executive Chef Regular Pay</v>
      </c>
      <c r="K20" t="s">
        <v>1310</v>
      </c>
      <c r="L20" t="e">
        <f>+VLOOKUP($A20,IncomeStatement!$A:$F,6,0)</f>
        <v>#N/A</v>
      </c>
    </row>
    <row r="21" spans="1:12" x14ac:dyDescent="0.25">
      <c r="A21" s="2" t="s">
        <v>65</v>
      </c>
      <c r="B21">
        <v>2845.39</v>
      </c>
      <c r="C21">
        <v>3161.54</v>
      </c>
      <c r="D21">
        <v>0</v>
      </c>
      <c r="E21">
        <v>0</v>
      </c>
      <c r="F21">
        <v>6006.93</v>
      </c>
      <c r="G21">
        <v>0</v>
      </c>
      <c r="H21">
        <f t="shared" si="0"/>
        <v>6006.93</v>
      </c>
      <c r="I21" t="str">
        <f>+VLOOKUP(A21,[1]Final!$A:$E,5,0)</f>
        <v>Food Outlet Management</v>
      </c>
      <c r="J21" t="str">
        <f>+VLOOKUP(A21,[1]Final!$A:$G,7,0)</f>
        <v>Service Manager Regular Pay</v>
      </c>
      <c r="K21" t="s">
        <v>1312</v>
      </c>
      <c r="L21" t="e">
        <f>+VLOOKUP($A21,IncomeStatement!$A:$F,6,0)</f>
        <v>#N/A</v>
      </c>
    </row>
    <row r="22" spans="1:12" x14ac:dyDescent="0.25">
      <c r="A22" s="2" t="s">
        <v>67</v>
      </c>
      <c r="B22">
        <v>281.81</v>
      </c>
      <c r="C22">
        <v>511.53</v>
      </c>
      <c r="D22">
        <v>0</v>
      </c>
      <c r="E22">
        <v>0</v>
      </c>
      <c r="F22">
        <v>793.33999999999992</v>
      </c>
      <c r="G22">
        <v>0</v>
      </c>
      <c r="H22">
        <f t="shared" si="0"/>
        <v>793.33999999999992</v>
      </c>
      <c r="I22" t="s">
        <v>344</v>
      </c>
      <c r="J22" t="s">
        <v>1320</v>
      </c>
      <c r="K22" t="s">
        <v>1311</v>
      </c>
      <c r="L22" t="e">
        <f>+VLOOKUP($A22,IncomeStatement!$A:$F,6,0)</f>
        <v>#N/A</v>
      </c>
    </row>
    <row r="23" spans="1:12" x14ac:dyDescent="0.25">
      <c r="A23" s="2" t="s">
        <v>69</v>
      </c>
      <c r="B23">
        <v>5902.21</v>
      </c>
      <c r="C23">
        <v>5397.11</v>
      </c>
      <c r="D23">
        <v>0</v>
      </c>
      <c r="E23">
        <v>0</v>
      </c>
      <c r="F23">
        <v>11299.32</v>
      </c>
      <c r="G23">
        <v>0</v>
      </c>
      <c r="H23">
        <f t="shared" si="0"/>
        <v>11299.32</v>
      </c>
      <c r="I23" t="str">
        <f>+VLOOKUP(A23,[1]Final!$A:$E,5,0)</f>
        <v>Banquet Server</v>
      </c>
      <c r="J23" t="str">
        <f>+VLOOKUP(A23,[1]Final!$A:$G,7,0)</f>
        <v>Food Service Regular Pay</v>
      </c>
      <c r="K23" t="s">
        <v>1313</v>
      </c>
      <c r="L23" t="e">
        <f>+VLOOKUP($A23,IncomeStatement!$A:$F,6,0)</f>
        <v>#N/A</v>
      </c>
    </row>
    <row r="24" spans="1:12" x14ac:dyDescent="0.25">
      <c r="A24" s="2" t="s">
        <v>71</v>
      </c>
      <c r="B24">
        <v>1117.6600000000001</v>
      </c>
      <c r="C24">
        <v>1406.27</v>
      </c>
      <c r="D24">
        <v>0</v>
      </c>
      <c r="E24">
        <v>0</v>
      </c>
      <c r="F24">
        <v>2523.9300000000003</v>
      </c>
      <c r="G24">
        <v>0</v>
      </c>
      <c r="H24">
        <f t="shared" si="0"/>
        <v>2523.9300000000003</v>
      </c>
      <c r="I24" t="str">
        <f>+VLOOKUP(A24,[1]Final!$A:$E,5,0)</f>
        <v>Host</v>
      </c>
      <c r="J24" t="str">
        <f>+VLOOKUP(A24,[1]Final!$A:$G,7,0)</f>
        <v>Host Persons Regular Pay</v>
      </c>
      <c r="K24" t="s">
        <v>1313</v>
      </c>
      <c r="L24" t="e">
        <f>+VLOOKUP($A24,IncomeStatement!$A:$F,6,0)</f>
        <v>#N/A</v>
      </c>
    </row>
    <row r="25" spans="1:12" x14ac:dyDescent="0.25">
      <c r="A25" s="2" t="s">
        <v>73</v>
      </c>
      <c r="B25">
        <v>14.25</v>
      </c>
      <c r="C25">
        <v>96.97</v>
      </c>
      <c r="D25">
        <v>0</v>
      </c>
      <c r="E25">
        <v>0</v>
      </c>
      <c r="F25">
        <v>111.22</v>
      </c>
      <c r="G25">
        <v>0</v>
      </c>
      <c r="H25">
        <f t="shared" si="0"/>
        <v>111.22</v>
      </c>
      <c r="I25" t="str">
        <f>+VLOOKUP(A25,[1]Final!$A:$E,5,0)</f>
        <v>Culinary</v>
      </c>
      <c r="J25" t="str">
        <f>+VLOOKUP(A25,[1]Final!$A:$G,7,0)</f>
        <v>Food Production Overtime</v>
      </c>
      <c r="K25" t="s">
        <v>1310</v>
      </c>
      <c r="L25">
        <f>+VLOOKUP($A25,IncomeStatement!$A:$F,6,0)</f>
        <v>137.5</v>
      </c>
    </row>
    <row r="26" spans="1:12" x14ac:dyDescent="0.25">
      <c r="A26" s="2" t="s">
        <v>75</v>
      </c>
      <c r="B26">
        <v>9141.41</v>
      </c>
      <c r="C26">
        <v>8329.52</v>
      </c>
      <c r="D26">
        <v>0</v>
      </c>
      <c r="E26">
        <v>0</v>
      </c>
      <c r="F26">
        <v>17470.93</v>
      </c>
      <c r="G26">
        <v>0</v>
      </c>
      <c r="H26">
        <f t="shared" si="0"/>
        <v>17470.93</v>
      </c>
      <c r="I26" t="str">
        <f>+VLOOKUP(A26,[1]Final!$A:$E,5,0)</f>
        <v>Culinary</v>
      </c>
      <c r="J26" t="str">
        <f>+VLOOKUP(A26,[1]Final!$A:$G,7,0)</f>
        <v>Food Production Regular Pay</v>
      </c>
      <c r="K26" t="s">
        <v>1310</v>
      </c>
      <c r="L26" t="e">
        <f>+VLOOKUP($A26,IncomeStatement!$A:$F,6,0)</f>
        <v>#N/A</v>
      </c>
    </row>
    <row r="27" spans="1:12" x14ac:dyDescent="0.25">
      <c r="A27" s="2" t="s">
        <v>77</v>
      </c>
      <c r="B27">
        <v>2828.66</v>
      </c>
      <c r="C27">
        <v>2948.07</v>
      </c>
      <c r="D27">
        <v>0</v>
      </c>
      <c r="E27">
        <v>0</v>
      </c>
      <c r="F27">
        <v>5776.73</v>
      </c>
      <c r="G27">
        <v>0</v>
      </c>
      <c r="H27">
        <f t="shared" si="0"/>
        <v>5776.73</v>
      </c>
      <c r="I27" t="str">
        <f>+VLOOKUP(A27,[1]Final!$A:$E,5,0)</f>
        <v>Kitchen Steward</v>
      </c>
      <c r="J27" t="str">
        <f>+VLOOKUP(A27,[1]Final!$A:$G,7,0)</f>
        <v>Utility Persons Regular Pay</v>
      </c>
      <c r="K27" t="s">
        <v>1310</v>
      </c>
      <c r="L27" t="e">
        <f>+VLOOKUP($A27,IncomeStatement!$A:$F,6,0)</f>
        <v>#N/A</v>
      </c>
    </row>
    <row r="28" spans="1:12" x14ac:dyDescent="0.25">
      <c r="A28" s="2" t="s">
        <v>79</v>
      </c>
      <c r="B28">
        <v>6238.39</v>
      </c>
      <c r="C28">
        <v>5474.11</v>
      </c>
      <c r="D28">
        <v>0</v>
      </c>
      <c r="E28">
        <v>0</v>
      </c>
      <c r="F28">
        <v>11712.5</v>
      </c>
      <c r="G28">
        <v>0</v>
      </c>
      <c r="H28">
        <f t="shared" si="0"/>
        <v>11712.5</v>
      </c>
      <c r="I28" t="str">
        <f>+VLOOKUP(A28,[1]Final!$A:$E,5,0)</f>
        <v>Bartender Restaurant</v>
      </c>
      <c r="J28" t="str">
        <f>+VLOOKUP(A28,[1]Final!$A:$G,7,0)</f>
        <v>Bartender Regular Pay</v>
      </c>
      <c r="K28" t="s">
        <v>1313</v>
      </c>
      <c r="L28" t="e">
        <f>+VLOOKUP($A28,IncomeStatement!$A:$F,6,0)</f>
        <v>#N/A</v>
      </c>
    </row>
    <row r="29" spans="1:12" x14ac:dyDescent="0.25">
      <c r="A29" s="2" t="s">
        <v>81</v>
      </c>
      <c r="B29">
        <v>5051.53</v>
      </c>
      <c r="C29">
        <v>6424.64</v>
      </c>
      <c r="D29">
        <v>0</v>
      </c>
      <c r="E29">
        <v>0</v>
      </c>
      <c r="F29">
        <v>11476.17</v>
      </c>
      <c r="G29">
        <v>0</v>
      </c>
      <c r="H29">
        <f t="shared" si="0"/>
        <v>11476.17</v>
      </c>
      <c r="I29" t="str">
        <f>+VLOOKUP(A29,[1]Final!$A:$E,5,0)</f>
        <v>General Manager</v>
      </c>
      <c r="J29" t="str">
        <f>+VLOOKUP(A29,[1]Final!$A:$G,7,0)</f>
        <v>General Manager Regular Pay</v>
      </c>
      <c r="K29" t="s">
        <v>1314</v>
      </c>
      <c r="L29" t="e">
        <f>+VLOOKUP($A29,IncomeStatement!$A:$F,6,0)</f>
        <v>#N/A</v>
      </c>
    </row>
    <row r="30" spans="1:12" x14ac:dyDescent="0.25">
      <c r="A30" s="2" t="s">
        <v>83</v>
      </c>
      <c r="B30">
        <v>1356.74</v>
      </c>
      <c r="C30">
        <v>3459.69</v>
      </c>
      <c r="D30">
        <v>0</v>
      </c>
      <c r="E30">
        <v>0</v>
      </c>
      <c r="F30">
        <v>4816.43</v>
      </c>
      <c r="G30">
        <v>0</v>
      </c>
      <c r="H30">
        <f t="shared" si="0"/>
        <v>4816.43</v>
      </c>
      <c r="I30" t="str">
        <f>+VLOOKUP(A30,[1]Final!$A:$E,5,0)</f>
        <v>Human Resource Manager</v>
      </c>
      <c r="J30" t="str">
        <f>+VLOOKUP(A30,[1]Final!$A:$G,7,0)</f>
        <v>Human Resource Manager Regular Pay</v>
      </c>
      <c r="K30" t="s">
        <v>1314</v>
      </c>
      <c r="L30" t="e">
        <f>+VLOOKUP($A30,IncomeStatement!$A:$F,6,0)</f>
        <v>#N/A</v>
      </c>
    </row>
    <row r="31" spans="1:12" x14ac:dyDescent="0.25">
      <c r="A31" s="2" t="s">
        <v>85</v>
      </c>
      <c r="B31">
        <v>7270.98</v>
      </c>
      <c r="C31">
        <v>8699.64</v>
      </c>
      <c r="D31">
        <v>0</v>
      </c>
      <c r="E31">
        <v>0</v>
      </c>
      <c r="F31">
        <v>15970.619999999999</v>
      </c>
      <c r="G31">
        <v>0</v>
      </c>
      <c r="H31">
        <f t="shared" si="0"/>
        <v>15970.619999999999</v>
      </c>
      <c r="I31" t="str">
        <f>+VLOOKUP(A31,[1]Final!$A:$E,5,0)</f>
        <v>Accounting</v>
      </c>
      <c r="J31" t="str">
        <f>+VLOOKUP(A31,[1]Final!$A:$G,7,0)</f>
        <v>Accounting Regular Pay</v>
      </c>
      <c r="K31" t="s">
        <v>1315</v>
      </c>
      <c r="L31" t="e">
        <f>+VLOOKUP($A31,IncomeStatement!$A:$F,6,0)</f>
        <v>#N/A</v>
      </c>
    </row>
    <row r="32" spans="1:12" x14ac:dyDescent="0.25">
      <c r="A32" s="2" t="s">
        <v>87</v>
      </c>
      <c r="B32">
        <v>1557.69</v>
      </c>
      <c r="C32">
        <v>5192.3100000000004</v>
      </c>
      <c r="D32">
        <v>0</v>
      </c>
      <c r="E32">
        <v>0</v>
      </c>
      <c r="F32">
        <v>6750</v>
      </c>
      <c r="G32">
        <v>0</v>
      </c>
      <c r="H32">
        <f t="shared" si="0"/>
        <v>6750</v>
      </c>
      <c r="I32" t="str">
        <f>+VLOOKUP(A32,[1]Final!$A:$E,5,0)</f>
        <v>Sales and Marketing</v>
      </c>
      <c r="J32" t="str">
        <f>+VLOOKUP(A32,[1]Final!$A:$G,7,0)</f>
        <v>Director of Sales Regular Pay</v>
      </c>
      <c r="K32" t="s">
        <v>1318</v>
      </c>
      <c r="L32" t="e">
        <f>+VLOOKUP($A32,IncomeStatement!$A:$F,6,0)</f>
        <v>#N/A</v>
      </c>
    </row>
    <row r="33" spans="1:12" x14ac:dyDescent="0.25">
      <c r="A33" s="2" t="s">
        <v>89</v>
      </c>
      <c r="B33">
        <v>3115.39</v>
      </c>
      <c r="C33">
        <v>3461.54</v>
      </c>
      <c r="D33">
        <v>0</v>
      </c>
      <c r="E33">
        <v>0</v>
      </c>
      <c r="F33">
        <v>6576.93</v>
      </c>
      <c r="G33">
        <v>0</v>
      </c>
      <c r="H33">
        <f t="shared" si="0"/>
        <v>6576.93</v>
      </c>
      <c r="I33" t="str">
        <f>+VLOOKUP(A33,[1]Final!$A:$E,5,0)</f>
        <v>Sales Manager</v>
      </c>
      <c r="J33" t="str">
        <f>+VLOOKUP(A33,[1]Final!$A:$G,7,0)</f>
        <v>Sales Manager Regular Pay</v>
      </c>
      <c r="K33" t="s">
        <v>1318</v>
      </c>
      <c r="L33" t="e">
        <f>+VLOOKUP($A33,IncomeStatement!$A:$F,6,0)</f>
        <v>#N/A</v>
      </c>
    </row>
    <row r="34" spans="1:12" x14ac:dyDescent="0.25">
      <c r="A34" s="2" t="s">
        <v>91</v>
      </c>
      <c r="B34">
        <v>2.0299999999999998</v>
      </c>
      <c r="C34">
        <v>6.32</v>
      </c>
      <c r="D34">
        <v>0</v>
      </c>
      <c r="E34">
        <v>0</v>
      </c>
      <c r="F34">
        <v>8.35</v>
      </c>
      <c r="G34">
        <v>0</v>
      </c>
      <c r="H34">
        <f t="shared" si="0"/>
        <v>8.35</v>
      </c>
      <c r="I34" t="str">
        <f>+VLOOKUP(A34,[1]Final!$A:$E,5,0)</f>
        <v>Sales Administrative</v>
      </c>
      <c r="J34" t="str">
        <f>+VLOOKUP(A34,[1]Final!$A:$G,7,0)</f>
        <v>Sales Admin Assistant Overtime</v>
      </c>
      <c r="K34" t="s">
        <v>1319</v>
      </c>
      <c r="L34">
        <f>+VLOOKUP($A34,IncomeStatement!$A:$F,6,0)</f>
        <v>36.299999999999997</v>
      </c>
    </row>
    <row r="35" spans="1:12" x14ac:dyDescent="0.25">
      <c r="A35" s="2" t="s">
        <v>93</v>
      </c>
      <c r="B35">
        <v>2185.02</v>
      </c>
      <c r="C35">
        <v>2087.75</v>
      </c>
      <c r="D35">
        <v>0</v>
      </c>
      <c r="E35">
        <v>0</v>
      </c>
      <c r="F35">
        <v>4272.7700000000004</v>
      </c>
      <c r="G35">
        <v>0</v>
      </c>
      <c r="H35">
        <f t="shared" si="0"/>
        <v>4272.7700000000004</v>
      </c>
      <c r="I35" t="str">
        <f>+VLOOKUP(A35,[1]Final!$A:$E,5,0)</f>
        <v>Sales Administrative</v>
      </c>
      <c r="J35" t="str">
        <f>+VLOOKUP(A35,[1]Final!$A:$G,7,0)</f>
        <v>Sales Admin Assistant Regular Pay</v>
      </c>
      <c r="K35" t="s">
        <v>1319</v>
      </c>
      <c r="L35" t="e">
        <f>+VLOOKUP($A35,IncomeStatement!$A:$F,6,0)</f>
        <v>#N/A</v>
      </c>
    </row>
    <row r="36" spans="1:12" x14ac:dyDescent="0.25">
      <c r="A36" s="2" t="s">
        <v>95</v>
      </c>
      <c r="B36">
        <v>3341.58</v>
      </c>
      <c r="C36">
        <v>3731.69</v>
      </c>
      <c r="D36">
        <v>0</v>
      </c>
      <c r="E36">
        <v>0</v>
      </c>
      <c r="F36">
        <v>7073.27</v>
      </c>
      <c r="G36">
        <v>0</v>
      </c>
      <c r="H36">
        <f t="shared" si="0"/>
        <v>7073.27</v>
      </c>
      <c r="I36" t="str">
        <f>+VLOOKUP(A36,[1]Final!$A:$E,5,0)</f>
        <v>Chief Engineer</v>
      </c>
      <c r="J36" t="str">
        <f>+VLOOKUP(A36,[1]Final!$A:$G,7,0)</f>
        <v>Maintenance Chief Regular Pay</v>
      </c>
      <c r="K36" t="s">
        <v>1316</v>
      </c>
      <c r="L36" t="e">
        <f>+VLOOKUP($A36,IncomeStatement!$A:$F,6,0)</f>
        <v>#N/A</v>
      </c>
    </row>
    <row r="37" spans="1:12" x14ac:dyDescent="0.25">
      <c r="A37" s="2" t="s">
        <v>97</v>
      </c>
      <c r="B37">
        <v>3182.35</v>
      </c>
      <c r="C37">
        <v>2143.71</v>
      </c>
      <c r="D37">
        <v>0</v>
      </c>
      <c r="E37">
        <v>0</v>
      </c>
      <c r="F37">
        <v>5326.0599999999995</v>
      </c>
      <c r="G37">
        <v>0</v>
      </c>
      <c r="H37">
        <f t="shared" si="0"/>
        <v>5326.0599999999995</v>
      </c>
      <c r="I37" t="str">
        <f>+VLOOKUP(A37,[1]Final!$A:$E,5,0)</f>
        <v>Maintenance</v>
      </c>
      <c r="J37" t="str">
        <f>+VLOOKUP(A37,[1]Final!$A:$G,7,0)</f>
        <v>Maintenance Technicians Regular Pay</v>
      </c>
      <c r="K37" t="s">
        <v>1317</v>
      </c>
      <c r="L37" t="e">
        <f>+VLOOKUP($A37,IncomeStatement!$A:$F,6,0)</f>
        <v>#N/A</v>
      </c>
    </row>
    <row r="38" spans="1:12" x14ac:dyDescent="0.25">
      <c r="A38" s="2" t="s">
        <v>159</v>
      </c>
      <c r="B38">
        <v>126138.92000000003</v>
      </c>
      <c r="C38">
        <v>137067.12000000002</v>
      </c>
      <c r="D38">
        <v>0</v>
      </c>
      <c r="E38">
        <v>0</v>
      </c>
      <c r="F38">
        <v>263206.03999999998</v>
      </c>
      <c r="G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462C-7704-4683-B6DD-ED607E9B109B}">
  <dimension ref="A1:F35"/>
  <sheetViews>
    <sheetView tabSelected="1" workbookViewId="0">
      <selection activeCell="B23" activeCellId="1" sqref="A22 B23"/>
    </sheetView>
  </sheetViews>
  <sheetFormatPr defaultRowHeight="15" x14ac:dyDescent="0.25"/>
  <cols>
    <col min="1" max="1" width="56.85546875" bestFit="1" customWidth="1"/>
    <col min="2" max="2" width="51" bestFit="1" customWidth="1"/>
    <col min="3" max="3" width="12.140625" bestFit="1" customWidth="1"/>
    <col min="4" max="4" width="14" bestFit="1" customWidth="1"/>
    <col min="5" max="5" width="38.5703125" bestFit="1" customWidth="1"/>
    <col min="6" max="6" width="27.42578125" bestFit="1" customWidth="1"/>
    <col min="7" max="7" width="20.5703125" bestFit="1" customWidth="1"/>
  </cols>
  <sheetData>
    <row r="1" spans="1:6" x14ac:dyDescent="0.25">
      <c r="A1" s="41" t="s">
        <v>1321</v>
      </c>
      <c r="B1" s="41" t="s">
        <v>1322</v>
      </c>
      <c r="C1" s="41" t="s">
        <v>1323</v>
      </c>
      <c r="D1" s="41" t="s">
        <v>1326</v>
      </c>
      <c r="E1" s="41" t="s">
        <v>6</v>
      </c>
      <c r="F1" s="41" t="s">
        <v>1324</v>
      </c>
    </row>
    <row r="2" spans="1:6" x14ac:dyDescent="0.25">
      <c r="A2" s="39" t="s">
        <v>1325</v>
      </c>
      <c r="B2" s="39" t="s">
        <v>1314</v>
      </c>
      <c r="C2" s="39" t="s">
        <v>81</v>
      </c>
      <c r="D2" s="39">
        <v>730000</v>
      </c>
      <c r="E2" s="39" t="s">
        <v>557</v>
      </c>
      <c r="F2" s="39" t="s">
        <v>555</v>
      </c>
    </row>
    <row r="3" spans="1:6" x14ac:dyDescent="0.25">
      <c r="A3" s="39" t="s">
        <v>1325</v>
      </c>
      <c r="B3" s="39" t="s">
        <v>1314</v>
      </c>
      <c r="C3" s="39" t="s">
        <v>83</v>
      </c>
      <c r="D3" s="39">
        <v>734000</v>
      </c>
      <c r="E3" s="39" t="s">
        <v>571</v>
      </c>
      <c r="F3" s="39" t="s">
        <v>570</v>
      </c>
    </row>
    <row r="4" spans="1:6" x14ac:dyDescent="0.25">
      <c r="A4" s="39" t="s">
        <v>1325</v>
      </c>
      <c r="B4" s="39" t="s">
        <v>1315</v>
      </c>
      <c r="C4" s="39" t="s">
        <v>85</v>
      </c>
      <c r="D4" s="39">
        <v>735000</v>
      </c>
      <c r="E4" s="39" t="s">
        <v>575</v>
      </c>
      <c r="F4" s="39" t="s">
        <v>574</v>
      </c>
    </row>
    <row r="5" spans="1:6" x14ac:dyDescent="0.25">
      <c r="A5" s="39" t="s">
        <v>1325</v>
      </c>
      <c r="B5" s="39" t="s">
        <v>1311</v>
      </c>
      <c r="C5" s="39" t="s">
        <v>67</v>
      </c>
      <c r="D5" s="39">
        <v>622300</v>
      </c>
      <c r="E5" s="39" t="s">
        <v>1320</v>
      </c>
      <c r="F5" s="39" t="s">
        <v>344</v>
      </c>
    </row>
    <row r="6" spans="1:6" x14ac:dyDescent="0.25">
      <c r="A6" s="39" t="s">
        <v>1325</v>
      </c>
      <c r="B6" s="39" t="s">
        <v>1309</v>
      </c>
      <c r="C6" s="39" t="s">
        <v>37</v>
      </c>
      <c r="D6" s="39">
        <v>600000</v>
      </c>
      <c r="E6" s="39" t="s">
        <v>173</v>
      </c>
      <c r="F6" s="39" t="s">
        <v>170</v>
      </c>
    </row>
    <row r="7" spans="1:6" x14ac:dyDescent="0.25">
      <c r="A7" s="39" t="s">
        <v>1325</v>
      </c>
      <c r="B7" s="39" t="s">
        <v>1309</v>
      </c>
      <c r="C7" s="39" t="s">
        <v>39</v>
      </c>
      <c r="D7" s="39">
        <v>600000</v>
      </c>
      <c r="E7" s="39" t="s">
        <v>172</v>
      </c>
      <c r="F7" s="39" t="s">
        <v>170</v>
      </c>
    </row>
    <row r="8" spans="1:6" x14ac:dyDescent="0.25">
      <c r="A8" s="39" t="s">
        <v>1325</v>
      </c>
      <c r="B8" s="39" t="s">
        <v>1309</v>
      </c>
      <c r="C8" s="39" t="s">
        <v>127</v>
      </c>
      <c r="D8" s="39">
        <v>602000</v>
      </c>
      <c r="E8" s="39" t="s">
        <v>215</v>
      </c>
      <c r="F8" s="39" t="s">
        <v>213</v>
      </c>
    </row>
    <row r="9" spans="1:6" x14ac:dyDescent="0.25">
      <c r="A9" s="39" t="s">
        <v>1325</v>
      </c>
      <c r="B9" s="39" t="s">
        <v>1309</v>
      </c>
      <c r="C9" s="39" t="s">
        <v>51</v>
      </c>
      <c r="D9" s="39">
        <v>602000</v>
      </c>
      <c r="E9" s="39" t="s">
        <v>214</v>
      </c>
      <c r="F9" s="39" t="s">
        <v>213</v>
      </c>
    </row>
    <row r="10" spans="1:6" x14ac:dyDescent="0.25">
      <c r="A10" s="39" t="s">
        <v>1325</v>
      </c>
      <c r="B10" s="39" t="s">
        <v>1307</v>
      </c>
      <c r="C10" s="39" t="s">
        <v>45</v>
      </c>
      <c r="D10" s="39">
        <v>600400</v>
      </c>
      <c r="E10" s="39" t="s">
        <v>196</v>
      </c>
      <c r="F10" s="39" t="s">
        <v>194</v>
      </c>
    </row>
    <row r="11" spans="1:6" x14ac:dyDescent="0.25">
      <c r="A11" s="39" t="s">
        <v>1325</v>
      </c>
      <c r="B11" s="39" t="s">
        <v>1307</v>
      </c>
      <c r="C11" s="39" t="s">
        <v>47</v>
      </c>
      <c r="D11" s="39">
        <v>600400</v>
      </c>
      <c r="E11" s="39" t="s">
        <v>195</v>
      </c>
      <c r="F11" s="39" t="s">
        <v>194</v>
      </c>
    </row>
    <row r="12" spans="1:6" x14ac:dyDescent="0.25">
      <c r="A12" s="39" t="s">
        <v>1325</v>
      </c>
      <c r="B12" s="39" t="s">
        <v>1307</v>
      </c>
      <c r="C12" s="39" t="s">
        <v>49</v>
      </c>
      <c r="D12" s="39">
        <v>600500</v>
      </c>
      <c r="E12" s="39" t="s">
        <v>198</v>
      </c>
      <c r="F12" s="39" t="s">
        <v>197</v>
      </c>
    </row>
    <row r="13" spans="1:6" x14ac:dyDescent="0.25">
      <c r="A13" s="39" t="s">
        <v>1325</v>
      </c>
      <c r="B13" s="39" t="s">
        <v>221</v>
      </c>
      <c r="C13" s="39" t="s">
        <v>131</v>
      </c>
      <c r="D13" s="39">
        <v>603500</v>
      </c>
      <c r="E13" s="39" t="s">
        <v>223</v>
      </c>
      <c r="F13" s="39" t="s">
        <v>221</v>
      </c>
    </row>
    <row r="14" spans="1:6" x14ac:dyDescent="0.25">
      <c r="A14" s="39" t="s">
        <v>1325</v>
      </c>
      <c r="B14" s="39" t="s">
        <v>221</v>
      </c>
      <c r="C14" s="39" t="s">
        <v>55</v>
      </c>
      <c r="D14" s="39">
        <v>603500</v>
      </c>
      <c r="E14" s="39" t="s">
        <v>222</v>
      </c>
      <c r="F14" s="39" t="s">
        <v>221</v>
      </c>
    </row>
    <row r="15" spans="1:6" x14ac:dyDescent="0.25">
      <c r="A15" s="39" t="s">
        <v>1325</v>
      </c>
      <c r="B15" s="39" t="s">
        <v>221</v>
      </c>
      <c r="C15" s="39" t="s">
        <v>57</v>
      </c>
      <c r="D15" s="39">
        <v>603900</v>
      </c>
      <c r="E15" s="39" t="s">
        <v>236</v>
      </c>
      <c r="F15" s="39" t="s">
        <v>235</v>
      </c>
    </row>
    <row r="16" spans="1:6" x14ac:dyDescent="0.25">
      <c r="A16" s="39" t="s">
        <v>1325</v>
      </c>
      <c r="B16" s="39" t="s">
        <v>221</v>
      </c>
      <c r="C16" s="39" t="s">
        <v>59</v>
      </c>
      <c r="D16" s="39">
        <v>606500</v>
      </c>
      <c r="E16" s="39" t="s">
        <v>262</v>
      </c>
      <c r="F16" s="39" t="s">
        <v>261</v>
      </c>
    </row>
    <row r="17" spans="1:6" x14ac:dyDescent="0.25">
      <c r="A17" s="39" t="s">
        <v>1325</v>
      </c>
      <c r="B17" s="39" t="s">
        <v>1310</v>
      </c>
      <c r="C17" s="39" t="s">
        <v>63</v>
      </c>
      <c r="D17" s="39">
        <v>620500</v>
      </c>
      <c r="E17" s="39" t="s">
        <v>308</v>
      </c>
      <c r="F17" s="39" t="s">
        <v>306</v>
      </c>
    </row>
    <row r="18" spans="1:6" x14ac:dyDescent="0.25">
      <c r="A18" s="39" t="s">
        <v>1325</v>
      </c>
      <c r="B18" s="39" t="s">
        <v>1310</v>
      </c>
      <c r="C18" s="39" t="s">
        <v>73</v>
      </c>
      <c r="D18" s="39">
        <v>625000</v>
      </c>
      <c r="E18" s="39" t="s">
        <v>379</v>
      </c>
      <c r="F18" s="39" t="s">
        <v>377</v>
      </c>
    </row>
    <row r="19" spans="1:6" x14ac:dyDescent="0.25">
      <c r="A19" s="39" t="s">
        <v>1325</v>
      </c>
      <c r="B19" s="39" t="s">
        <v>1310</v>
      </c>
      <c r="C19" s="39" t="s">
        <v>75</v>
      </c>
      <c r="D19" s="39">
        <v>625000</v>
      </c>
      <c r="E19" s="39" t="s">
        <v>378</v>
      </c>
      <c r="F19" s="39" t="s">
        <v>377</v>
      </c>
    </row>
    <row r="20" spans="1:6" x14ac:dyDescent="0.25">
      <c r="A20" s="39" t="s">
        <v>1325</v>
      </c>
      <c r="B20" s="39" t="s">
        <v>1310</v>
      </c>
      <c r="C20" s="39" t="s">
        <v>77</v>
      </c>
      <c r="D20" s="39">
        <v>626000</v>
      </c>
      <c r="E20" s="39" t="s">
        <v>391</v>
      </c>
      <c r="F20" s="39" t="s">
        <v>390</v>
      </c>
    </row>
    <row r="21" spans="1:6" x14ac:dyDescent="0.25">
      <c r="A21" s="39" t="s">
        <v>1325</v>
      </c>
      <c r="B21" s="39" t="s">
        <v>246</v>
      </c>
      <c r="C21" s="39" t="s">
        <v>135</v>
      </c>
      <c r="D21" s="39">
        <v>605000</v>
      </c>
      <c r="E21" s="39" t="s">
        <v>247</v>
      </c>
      <c r="F21" s="39" t="s">
        <v>246</v>
      </c>
    </row>
    <row r="22" spans="1:6" x14ac:dyDescent="0.25">
      <c r="A22" s="39" t="s">
        <v>1325</v>
      </c>
      <c r="B22" s="39" t="s">
        <v>1308</v>
      </c>
      <c r="C22" s="39" t="s">
        <v>41</v>
      </c>
      <c r="D22" s="39">
        <v>600100</v>
      </c>
      <c r="E22" s="39" t="s">
        <v>176</v>
      </c>
      <c r="F22" s="39" t="s">
        <v>175</v>
      </c>
    </row>
    <row r="23" spans="1:6" x14ac:dyDescent="0.25">
      <c r="A23" s="39" t="s">
        <v>1325</v>
      </c>
      <c r="B23" s="39" t="s">
        <v>1308</v>
      </c>
      <c r="C23" s="39" t="s">
        <v>43</v>
      </c>
      <c r="D23" s="39">
        <v>600200</v>
      </c>
      <c r="E23" s="39" t="s">
        <v>185</v>
      </c>
      <c r="F23" s="39" t="s">
        <v>184</v>
      </c>
    </row>
    <row r="24" spans="1:6" x14ac:dyDescent="0.25">
      <c r="A24" s="39" t="s">
        <v>1325</v>
      </c>
      <c r="B24" s="39" t="s">
        <v>1308</v>
      </c>
      <c r="C24" s="39" t="s">
        <v>53</v>
      </c>
      <c r="D24" s="39">
        <v>603000</v>
      </c>
      <c r="E24" s="39" t="s">
        <v>218</v>
      </c>
      <c r="F24" s="39" t="s">
        <v>216</v>
      </c>
    </row>
    <row r="25" spans="1:6" x14ac:dyDescent="0.25">
      <c r="A25" s="39" t="s">
        <v>1325</v>
      </c>
      <c r="B25" s="39" t="s">
        <v>1316</v>
      </c>
      <c r="C25" s="39" t="s">
        <v>95</v>
      </c>
      <c r="D25" s="39">
        <v>770000</v>
      </c>
      <c r="E25" s="39" t="s">
        <v>643</v>
      </c>
      <c r="F25" s="39" t="s">
        <v>641</v>
      </c>
    </row>
    <row r="26" spans="1:6" x14ac:dyDescent="0.25">
      <c r="A26" s="39" t="s">
        <v>1325</v>
      </c>
      <c r="B26" s="39" t="s">
        <v>1317</v>
      </c>
      <c r="C26" s="39" t="s">
        <v>97</v>
      </c>
      <c r="D26" s="39">
        <v>771000</v>
      </c>
      <c r="E26" s="39" t="s">
        <v>648</v>
      </c>
      <c r="F26" s="39" t="s">
        <v>647</v>
      </c>
    </row>
    <row r="27" spans="1:6" x14ac:dyDescent="0.25">
      <c r="A27" s="39" t="s">
        <v>1325</v>
      </c>
      <c r="B27" s="39" t="s">
        <v>1313</v>
      </c>
      <c r="C27" s="39" t="s">
        <v>69</v>
      </c>
      <c r="D27" s="39">
        <v>622300</v>
      </c>
      <c r="E27" s="39" t="s">
        <v>345</v>
      </c>
      <c r="F27" s="39" t="s">
        <v>344</v>
      </c>
    </row>
    <row r="28" spans="1:6" x14ac:dyDescent="0.25">
      <c r="A28" s="39" t="s">
        <v>1325</v>
      </c>
      <c r="B28" s="39" t="s">
        <v>1313</v>
      </c>
      <c r="C28" s="39" t="s">
        <v>71</v>
      </c>
      <c r="D28" s="39">
        <v>623000</v>
      </c>
      <c r="E28" s="39" t="s">
        <v>369</v>
      </c>
      <c r="F28" s="39" t="s">
        <v>368</v>
      </c>
    </row>
    <row r="29" spans="1:6" x14ac:dyDescent="0.25">
      <c r="A29" s="39" t="s">
        <v>1325</v>
      </c>
      <c r="B29" s="39" t="s">
        <v>1313</v>
      </c>
      <c r="C29" s="39" t="s">
        <v>79</v>
      </c>
      <c r="D29" s="39">
        <v>627000</v>
      </c>
      <c r="E29" s="39" t="s">
        <v>396</v>
      </c>
      <c r="F29" s="39" t="s">
        <v>394</v>
      </c>
    </row>
    <row r="30" spans="1:6" x14ac:dyDescent="0.25">
      <c r="A30" s="39" t="s">
        <v>1325</v>
      </c>
      <c r="B30" s="39" t="s">
        <v>1318</v>
      </c>
      <c r="C30" s="39" t="s">
        <v>87</v>
      </c>
      <c r="D30" s="39">
        <v>750100</v>
      </c>
      <c r="E30" s="39" t="s">
        <v>596</v>
      </c>
      <c r="F30" s="39" t="s">
        <v>594</v>
      </c>
    </row>
    <row r="31" spans="1:6" x14ac:dyDescent="0.25">
      <c r="A31" s="39" t="s">
        <v>1325</v>
      </c>
      <c r="B31" s="39" t="s">
        <v>1318</v>
      </c>
      <c r="C31" s="39" t="s">
        <v>89</v>
      </c>
      <c r="D31" s="39">
        <v>750200</v>
      </c>
      <c r="E31" s="39" t="s">
        <v>600</v>
      </c>
      <c r="F31" s="39" t="s">
        <v>599</v>
      </c>
    </row>
    <row r="32" spans="1:6" x14ac:dyDescent="0.25">
      <c r="A32" s="39" t="s">
        <v>1325</v>
      </c>
      <c r="B32" s="39" t="s">
        <v>1319</v>
      </c>
      <c r="C32" s="39" t="s">
        <v>91</v>
      </c>
      <c r="D32" s="39">
        <v>755000</v>
      </c>
      <c r="E32" s="39" t="s">
        <v>635</v>
      </c>
      <c r="F32" s="39" t="s">
        <v>633</v>
      </c>
    </row>
    <row r="33" spans="1:6" x14ac:dyDescent="0.25">
      <c r="A33" s="39" t="s">
        <v>1325</v>
      </c>
      <c r="B33" s="39" t="s">
        <v>1319</v>
      </c>
      <c r="C33" s="39" t="s">
        <v>93</v>
      </c>
      <c r="D33" s="39">
        <v>755000</v>
      </c>
      <c r="E33" s="39" t="s">
        <v>634</v>
      </c>
      <c r="F33" s="39" t="s">
        <v>633</v>
      </c>
    </row>
    <row r="34" spans="1:6" x14ac:dyDescent="0.25">
      <c r="A34" s="39" t="s">
        <v>1325</v>
      </c>
      <c r="B34" s="39" t="s">
        <v>1312</v>
      </c>
      <c r="C34" s="39" t="s">
        <v>61</v>
      </c>
      <c r="D34" s="39">
        <v>620000</v>
      </c>
      <c r="E34" s="39" t="s">
        <v>296</v>
      </c>
      <c r="F34" s="39" t="s">
        <v>294</v>
      </c>
    </row>
    <row r="35" spans="1:6" x14ac:dyDescent="0.25">
      <c r="A35" s="40" t="s">
        <v>1325</v>
      </c>
      <c r="B35" s="40" t="s">
        <v>1312</v>
      </c>
      <c r="C35" s="40" t="s">
        <v>65</v>
      </c>
      <c r="D35" s="39">
        <v>621100</v>
      </c>
      <c r="E35" s="40" t="s">
        <v>320</v>
      </c>
      <c r="F35" s="40" t="s">
        <v>319</v>
      </c>
    </row>
  </sheetData>
  <sortState xmlns:xlrd2="http://schemas.microsoft.com/office/spreadsheetml/2017/richdata2" ref="A2:F35">
    <sortCondition ref="B2:B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EAA9-ECA3-4BB9-B32B-D1B5111D8EF5}">
  <dimension ref="A1:L142"/>
  <sheetViews>
    <sheetView workbookViewId="0">
      <selection activeCell="A3" sqref="A3:L37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3.85546875" bestFit="1" customWidth="1"/>
    <col min="4" max="4" width="49.7109375" bestFit="1" customWidth="1"/>
    <col min="5" max="5" width="10.28515625" bestFit="1" customWidth="1"/>
    <col min="6" max="6" width="18.5703125" bestFit="1" customWidth="1"/>
    <col min="7" max="7" width="16.5703125" bestFit="1" customWidth="1"/>
    <col min="8" max="8" width="9" bestFit="1" customWidth="1"/>
    <col min="9" max="9" width="10" bestFit="1" customWidth="1"/>
    <col min="10" max="10" width="80.7109375" bestFit="1" customWidth="1"/>
    <col min="11" max="11" width="14.5703125" bestFit="1" customWidth="1"/>
    <col min="12" max="12" width="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46207</v>
      </c>
      <c r="D2" t="s">
        <v>13</v>
      </c>
      <c r="E2">
        <v>474</v>
      </c>
      <c r="F2">
        <v>21500</v>
      </c>
      <c r="H2">
        <v>0</v>
      </c>
      <c r="I2">
        <v>2205.23</v>
      </c>
      <c r="J2" t="s">
        <v>14</v>
      </c>
    </row>
    <row r="3" spans="1:12" x14ac:dyDescent="0.25">
      <c r="A3" t="s">
        <v>12</v>
      </c>
      <c r="B3" s="1">
        <v>46207</v>
      </c>
      <c r="D3" t="s">
        <v>13</v>
      </c>
      <c r="E3">
        <v>474</v>
      </c>
      <c r="F3">
        <v>21500</v>
      </c>
      <c r="H3">
        <v>0</v>
      </c>
      <c r="I3">
        <v>118391.41</v>
      </c>
      <c r="J3" t="s">
        <v>15</v>
      </c>
    </row>
    <row r="4" spans="1:12" x14ac:dyDescent="0.25">
      <c r="A4" t="s">
        <v>12</v>
      </c>
      <c r="B4" s="1">
        <v>46207</v>
      </c>
      <c r="D4" t="s">
        <v>13</v>
      </c>
      <c r="E4">
        <v>474</v>
      </c>
      <c r="F4">
        <v>21500</v>
      </c>
      <c r="H4">
        <v>0</v>
      </c>
      <c r="I4">
        <v>3282.72</v>
      </c>
      <c r="J4" t="s">
        <v>16</v>
      </c>
    </row>
    <row r="5" spans="1:12" x14ac:dyDescent="0.25">
      <c r="A5" t="s">
        <v>12</v>
      </c>
      <c r="B5" s="1">
        <v>46207</v>
      </c>
      <c r="D5" t="s">
        <v>13</v>
      </c>
      <c r="E5">
        <v>474</v>
      </c>
      <c r="F5">
        <v>21500</v>
      </c>
      <c r="H5">
        <v>0</v>
      </c>
      <c r="I5">
        <v>27537.21</v>
      </c>
      <c r="J5" t="s">
        <v>17</v>
      </c>
    </row>
    <row r="6" spans="1:12" x14ac:dyDescent="0.25">
      <c r="A6" t="s">
        <v>12</v>
      </c>
      <c r="B6" s="1">
        <v>46207</v>
      </c>
      <c r="D6" t="s">
        <v>13</v>
      </c>
      <c r="E6">
        <v>474</v>
      </c>
      <c r="F6">
        <v>21500</v>
      </c>
      <c r="H6">
        <v>0</v>
      </c>
      <c r="I6">
        <v>12846.47</v>
      </c>
      <c r="J6" t="s">
        <v>18</v>
      </c>
    </row>
    <row r="7" spans="1:12" x14ac:dyDescent="0.25">
      <c r="A7" t="s">
        <v>12</v>
      </c>
      <c r="B7" s="1">
        <v>46207</v>
      </c>
      <c r="D7" t="s">
        <v>13</v>
      </c>
      <c r="E7">
        <v>474</v>
      </c>
      <c r="F7">
        <v>21500</v>
      </c>
      <c r="H7">
        <v>0</v>
      </c>
      <c r="I7">
        <v>13179.28</v>
      </c>
      <c r="J7" t="s">
        <v>19</v>
      </c>
    </row>
    <row r="8" spans="1:12" x14ac:dyDescent="0.25">
      <c r="A8" t="s">
        <v>12</v>
      </c>
      <c r="B8" s="1">
        <v>46207</v>
      </c>
      <c r="D8" t="s">
        <v>13</v>
      </c>
      <c r="E8">
        <v>474</v>
      </c>
      <c r="F8">
        <v>22052</v>
      </c>
      <c r="H8">
        <v>10952.44</v>
      </c>
      <c r="I8">
        <v>0</v>
      </c>
      <c r="J8" t="s">
        <v>20</v>
      </c>
    </row>
    <row r="9" spans="1:12" x14ac:dyDescent="0.25">
      <c r="A9" t="s">
        <v>12</v>
      </c>
      <c r="B9" s="1">
        <v>46207</v>
      </c>
      <c r="D9" t="s">
        <v>13</v>
      </c>
      <c r="E9">
        <v>474</v>
      </c>
      <c r="F9">
        <v>22060</v>
      </c>
      <c r="H9">
        <v>0</v>
      </c>
      <c r="I9">
        <v>7355.27</v>
      </c>
      <c r="J9" t="s">
        <v>21</v>
      </c>
    </row>
    <row r="10" spans="1:12" x14ac:dyDescent="0.25">
      <c r="A10" t="s">
        <v>12</v>
      </c>
      <c r="B10" s="1">
        <v>46207</v>
      </c>
      <c r="D10" t="s">
        <v>13</v>
      </c>
      <c r="E10">
        <v>474</v>
      </c>
      <c r="F10">
        <v>51920</v>
      </c>
      <c r="H10">
        <v>875</v>
      </c>
      <c r="I10">
        <v>0</v>
      </c>
      <c r="J10" t="s">
        <v>22</v>
      </c>
    </row>
    <row r="11" spans="1:12" x14ac:dyDescent="0.25">
      <c r="A11" t="s">
        <v>12</v>
      </c>
      <c r="B11" s="1">
        <v>46207</v>
      </c>
      <c r="D11" t="s">
        <v>13</v>
      </c>
      <c r="E11">
        <v>474</v>
      </c>
      <c r="F11">
        <v>60700</v>
      </c>
      <c r="H11">
        <v>941.48</v>
      </c>
      <c r="I11">
        <v>0</v>
      </c>
      <c r="J11" t="s">
        <v>23</v>
      </c>
    </row>
    <row r="12" spans="1:12" x14ac:dyDescent="0.25">
      <c r="A12" t="s">
        <v>12</v>
      </c>
      <c r="B12" s="1">
        <v>46207</v>
      </c>
      <c r="D12" t="s">
        <v>13</v>
      </c>
      <c r="E12">
        <v>474</v>
      </c>
      <c r="F12">
        <v>60920</v>
      </c>
      <c r="H12">
        <v>5695.68</v>
      </c>
      <c r="I12">
        <v>0</v>
      </c>
      <c r="J12" t="s">
        <v>24</v>
      </c>
    </row>
    <row r="13" spans="1:12" x14ac:dyDescent="0.25">
      <c r="A13" t="s">
        <v>12</v>
      </c>
      <c r="B13" s="1">
        <v>46207</v>
      </c>
      <c r="D13" t="s">
        <v>13</v>
      </c>
      <c r="E13">
        <v>474</v>
      </c>
      <c r="F13">
        <v>60920</v>
      </c>
      <c r="H13">
        <v>7.02</v>
      </c>
      <c r="I13">
        <v>0</v>
      </c>
      <c r="J13" t="s">
        <v>24</v>
      </c>
    </row>
    <row r="14" spans="1:12" x14ac:dyDescent="0.25">
      <c r="A14" t="s">
        <v>12</v>
      </c>
      <c r="B14" s="1">
        <v>46207</v>
      </c>
      <c r="D14" t="s">
        <v>13</v>
      </c>
      <c r="E14">
        <v>474</v>
      </c>
      <c r="F14">
        <v>60940</v>
      </c>
      <c r="H14">
        <v>5901.38</v>
      </c>
      <c r="I14">
        <v>0</v>
      </c>
      <c r="J14" t="s">
        <v>18</v>
      </c>
    </row>
    <row r="15" spans="1:12" x14ac:dyDescent="0.25">
      <c r="A15" t="s">
        <v>12</v>
      </c>
      <c r="B15" s="1">
        <v>46207</v>
      </c>
      <c r="D15" t="s">
        <v>13</v>
      </c>
      <c r="E15">
        <v>474</v>
      </c>
      <c r="F15">
        <v>60940</v>
      </c>
      <c r="H15">
        <v>630.82000000000005</v>
      </c>
      <c r="I15">
        <v>0</v>
      </c>
      <c r="J15" t="s">
        <v>25</v>
      </c>
    </row>
    <row r="16" spans="1:12" x14ac:dyDescent="0.25">
      <c r="A16" t="s">
        <v>12</v>
      </c>
      <c r="B16" s="1">
        <v>46207</v>
      </c>
      <c r="D16" t="s">
        <v>13</v>
      </c>
      <c r="E16">
        <v>474</v>
      </c>
      <c r="F16">
        <v>60940</v>
      </c>
      <c r="H16">
        <v>3.25</v>
      </c>
      <c r="I16">
        <v>0</v>
      </c>
      <c r="J16" t="s">
        <v>25</v>
      </c>
    </row>
    <row r="17" spans="1:11" x14ac:dyDescent="0.25">
      <c r="A17" t="s">
        <v>12</v>
      </c>
      <c r="B17" s="1">
        <v>46207</v>
      </c>
      <c r="D17" t="s">
        <v>13</v>
      </c>
      <c r="E17">
        <v>474</v>
      </c>
      <c r="F17">
        <v>60990</v>
      </c>
      <c r="H17">
        <v>2682.79</v>
      </c>
      <c r="I17">
        <v>0</v>
      </c>
      <c r="J17" t="s">
        <v>26</v>
      </c>
    </row>
    <row r="18" spans="1:11" x14ac:dyDescent="0.25">
      <c r="A18" t="s">
        <v>12</v>
      </c>
      <c r="B18" s="1">
        <v>46207</v>
      </c>
      <c r="D18" t="s">
        <v>13</v>
      </c>
      <c r="E18">
        <v>474</v>
      </c>
      <c r="F18">
        <v>61950</v>
      </c>
      <c r="H18">
        <v>0</v>
      </c>
      <c r="I18">
        <v>29.09</v>
      </c>
      <c r="J18" t="s">
        <v>27</v>
      </c>
    </row>
    <row r="19" spans="1:11" x14ac:dyDescent="0.25">
      <c r="A19" t="s">
        <v>12</v>
      </c>
      <c r="B19" s="1">
        <v>46207</v>
      </c>
      <c r="D19" t="s">
        <v>13</v>
      </c>
      <c r="E19">
        <v>474</v>
      </c>
      <c r="F19">
        <v>62700</v>
      </c>
      <c r="H19">
        <v>10.82</v>
      </c>
      <c r="I19">
        <v>0</v>
      </c>
      <c r="J19" t="s">
        <v>28</v>
      </c>
      <c r="K19" t="s">
        <v>29</v>
      </c>
    </row>
    <row r="20" spans="1:11" x14ac:dyDescent="0.25">
      <c r="A20" t="s">
        <v>12</v>
      </c>
      <c r="B20" s="1">
        <v>46207</v>
      </c>
      <c r="D20" t="s">
        <v>13</v>
      </c>
      <c r="E20">
        <v>474</v>
      </c>
      <c r="F20">
        <v>62920</v>
      </c>
      <c r="H20">
        <v>3671.32</v>
      </c>
      <c r="I20">
        <v>0</v>
      </c>
      <c r="J20" t="s">
        <v>30</v>
      </c>
      <c r="K20" t="s">
        <v>29</v>
      </c>
    </row>
    <row r="21" spans="1:11" x14ac:dyDescent="0.25">
      <c r="A21" t="s">
        <v>12</v>
      </c>
      <c r="B21" s="1">
        <v>46207</v>
      </c>
      <c r="D21" t="s">
        <v>13</v>
      </c>
      <c r="E21">
        <v>474</v>
      </c>
      <c r="F21">
        <v>62920</v>
      </c>
      <c r="H21">
        <v>100.28</v>
      </c>
      <c r="I21">
        <v>0</v>
      </c>
      <c r="J21" t="s">
        <v>30</v>
      </c>
      <c r="K21" t="s">
        <v>31</v>
      </c>
    </row>
    <row r="22" spans="1:11" x14ac:dyDescent="0.25">
      <c r="A22" t="s">
        <v>12</v>
      </c>
      <c r="B22" s="1">
        <v>46207</v>
      </c>
      <c r="D22" t="s">
        <v>13</v>
      </c>
      <c r="E22">
        <v>474</v>
      </c>
      <c r="F22">
        <v>62940</v>
      </c>
      <c r="H22">
        <v>3614.3</v>
      </c>
      <c r="I22">
        <v>0</v>
      </c>
      <c r="J22" t="s">
        <v>18</v>
      </c>
      <c r="K22" t="s">
        <v>29</v>
      </c>
    </row>
    <row r="23" spans="1:11" x14ac:dyDescent="0.25">
      <c r="A23" t="s">
        <v>12</v>
      </c>
      <c r="B23" s="1">
        <v>46207</v>
      </c>
      <c r="D23" t="s">
        <v>13</v>
      </c>
      <c r="E23">
        <v>474</v>
      </c>
      <c r="F23">
        <v>62940</v>
      </c>
      <c r="H23">
        <v>423.24</v>
      </c>
      <c r="I23">
        <v>0</v>
      </c>
      <c r="J23" t="s">
        <v>25</v>
      </c>
      <c r="K23" t="s">
        <v>29</v>
      </c>
    </row>
    <row r="24" spans="1:11" x14ac:dyDescent="0.25">
      <c r="A24" t="s">
        <v>12</v>
      </c>
      <c r="B24" s="1">
        <v>46207</v>
      </c>
      <c r="D24" t="s">
        <v>13</v>
      </c>
      <c r="E24">
        <v>474</v>
      </c>
      <c r="F24">
        <v>62990</v>
      </c>
      <c r="H24">
        <v>3100.5</v>
      </c>
      <c r="I24">
        <v>0</v>
      </c>
      <c r="J24" t="s">
        <v>26</v>
      </c>
      <c r="K24" t="s">
        <v>29</v>
      </c>
    </row>
    <row r="25" spans="1:11" x14ac:dyDescent="0.25">
      <c r="A25" t="s">
        <v>12</v>
      </c>
      <c r="B25" s="1">
        <v>46207</v>
      </c>
      <c r="D25" t="s">
        <v>13</v>
      </c>
      <c r="E25">
        <v>474</v>
      </c>
      <c r="F25">
        <v>63905</v>
      </c>
      <c r="H25">
        <v>1428.08</v>
      </c>
      <c r="I25">
        <v>0</v>
      </c>
      <c r="J25" t="s">
        <v>32</v>
      </c>
      <c r="K25" t="s">
        <v>29</v>
      </c>
    </row>
    <row r="26" spans="1:11" x14ac:dyDescent="0.25">
      <c r="A26" t="s">
        <v>12</v>
      </c>
      <c r="B26" s="1">
        <v>46207</v>
      </c>
      <c r="D26" t="s">
        <v>13</v>
      </c>
      <c r="E26">
        <v>474</v>
      </c>
      <c r="F26">
        <v>63905</v>
      </c>
      <c r="H26">
        <v>803.14</v>
      </c>
      <c r="I26">
        <v>0</v>
      </c>
      <c r="J26" t="s">
        <v>32</v>
      </c>
      <c r="K26" t="s">
        <v>31</v>
      </c>
    </row>
    <row r="27" spans="1:11" x14ac:dyDescent="0.25">
      <c r="A27" t="s">
        <v>12</v>
      </c>
      <c r="B27" s="1">
        <v>46207</v>
      </c>
      <c r="D27" t="s">
        <v>13</v>
      </c>
      <c r="E27">
        <v>474</v>
      </c>
      <c r="F27">
        <v>64905</v>
      </c>
      <c r="H27">
        <v>171.7</v>
      </c>
      <c r="I27">
        <v>0</v>
      </c>
      <c r="J27" t="s">
        <v>32</v>
      </c>
      <c r="K27" t="s">
        <v>29</v>
      </c>
    </row>
    <row r="28" spans="1:11" x14ac:dyDescent="0.25">
      <c r="A28" t="s">
        <v>12</v>
      </c>
      <c r="B28" s="1">
        <v>46207</v>
      </c>
      <c r="D28" t="s">
        <v>13</v>
      </c>
      <c r="E28">
        <v>474</v>
      </c>
      <c r="F28">
        <v>64920</v>
      </c>
      <c r="H28">
        <v>649.83000000000004</v>
      </c>
      <c r="I28">
        <v>0</v>
      </c>
      <c r="J28" t="s">
        <v>33</v>
      </c>
      <c r="K28" t="s">
        <v>29</v>
      </c>
    </row>
    <row r="29" spans="1:11" x14ac:dyDescent="0.25">
      <c r="A29" t="s">
        <v>12</v>
      </c>
      <c r="B29" s="1">
        <v>46207</v>
      </c>
      <c r="D29" t="s">
        <v>13</v>
      </c>
      <c r="E29">
        <v>474</v>
      </c>
      <c r="F29">
        <v>64990</v>
      </c>
      <c r="H29">
        <v>173.84</v>
      </c>
      <c r="I29">
        <v>0</v>
      </c>
      <c r="J29" t="s">
        <v>26</v>
      </c>
      <c r="K29" t="s">
        <v>29</v>
      </c>
    </row>
    <row r="30" spans="1:11" x14ac:dyDescent="0.25">
      <c r="A30" t="s">
        <v>12</v>
      </c>
      <c r="B30" s="1">
        <v>46207</v>
      </c>
      <c r="D30" t="s">
        <v>13</v>
      </c>
      <c r="E30">
        <v>474</v>
      </c>
      <c r="F30">
        <v>73920</v>
      </c>
      <c r="H30">
        <v>1462.64</v>
      </c>
      <c r="I30">
        <v>0</v>
      </c>
      <c r="J30" t="s">
        <v>34</v>
      </c>
    </row>
    <row r="31" spans="1:11" x14ac:dyDescent="0.25">
      <c r="A31" t="s">
        <v>12</v>
      </c>
      <c r="B31" s="1">
        <v>46207</v>
      </c>
      <c r="D31" t="s">
        <v>13</v>
      </c>
      <c r="E31">
        <v>474</v>
      </c>
      <c r="F31">
        <v>73940</v>
      </c>
      <c r="H31">
        <v>1708.4</v>
      </c>
      <c r="I31">
        <v>0</v>
      </c>
      <c r="J31" t="s">
        <v>18</v>
      </c>
    </row>
    <row r="32" spans="1:11" x14ac:dyDescent="0.25">
      <c r="A32" t="s">
        <v>12</v>
      </c>
      <c r="B32" s="1">
        <v>46207</v>
      </c>
      <c r="D32" t="s">
        <v>13</v>
      </c>
      <c r="E32">
        <v>474</v>
      </c>
      <c r="F32">
        <v>73940</v>
      </c>
      <c r="H32">
        <v>626.34</v>
      </c>
      <c r="I32">
        <v>0</v>
      </c>
      <c r="J32" t="s">
        <v>25</v>
      </c>
    </row>
    <row r="33" spans="1:10" x14ac:dyDescent="0.25">
      <c r="A33" t="s">
        <v>12</v>
      </c>
      <c r="B33" s="1">
        <v>46207</v>
      </c>
      <c r="D33" t="s">
        <v>13</v>
      </c>
      <c r="E33">
        <v>474</v>
      </c>
      <c r="F33">
        <v>73990</v>
      </c>
      <c r="H33">
        <v>4548.3900000000003</v>
      </c>
      <c r="I33">
        <v>0</v>
      </c>
      <c r="J33" t="s">
        <v>26</v>
      </c>
    </row>
    <row r="34" spans="1:10" x14ac:dyDescent="0.25">
      <c r="A34" t="s">
        <v>12</v>
      </c>
      <c r="B34" s="1">
        <v>46207</v>
      </c>
      <c r="D34" t="s">
        <v>13</v>
      </c>
      <c r="E34">
        <v>474</v>
      </c>
      <c r="F34">
        <v>75920</v>
      </c>
      <c r="H34">
        <v>932.38</v>
      </c>
      <c r="I34">
        <v>0</v>
      </c>
      <c r="J34" t="s">
        <v>35</v>
      </c>
    </row>
    <row r="35" spans="1:10" x14ac:dyDescent="0.25">
      <c r="A35" t="s">
        <v>12</v>
      </c>
      <c r="B35" s="1">
        <v>46207</v>
      </c>
      <c r="D35" t="s">
        <v>13</v>
      </c>
      <c r="E35">
        <v>474</v>
      </c>
      <c r="F35">
        <v>75940</v>
      </c>
      <c r="H35">
        <v>1016.35</v>
      </c>
      <c r="I35">
        <v>0</v>
      </c>
      <c r="J35" t="s">
        <v>18</v>
      </c>
    </row>
    <row r="36" spans="1:10" x14ac:dyDescent="0.25">
      <c r="A36" t="s">
        <v>12</v>
      </c>
      <c r="B36" s="1">
        <v>46207</v>
      </c>
      <c r="D36" t="s">
        <v>13</v>
      </c>
      <c r="E36">
        <v>474</v>
      </c>
      <c r="F36">
        <v>75990</v>
      </c>
      <c r="H36">
        <v>3980.77</v>
      </c>
      <c r="I36">
        <v>0</v>
      </c>
      <c r="J36" t="s">
        <v>26</v>
      </c>
    </row>
    <row r="37" spans="1:10" x14ac:dyDescent="0.25">
      <c r="A37" t="s">
        <v>12</v>
      </c>
      <c r="B37" s="1">
        <v>46207</v>
      </c>
      <c r="D37" t="s">
        <v>13</v>
      </c>
      <c r="E37">
        <v>474</v>
      </c>
      <c r="F37">
        <v>77940</v>
      </c>
      <c r="H37">
        <v>659.41</v>
      </c>
      <c r="I37">
        <v>0</v>
      </c>
      <c r="J37" t="s">
        <v>36</v>
      </c>
    </row>
    <row r="38" spans="1:10" x14ac:dyDescent="0.25">
      <c r="A38" t="s">
        <v>12</v>
      </c>
      <c r="B38" s="1">
        <v>46207</v>
      </c>
      <c r="D38" t="s">
        <v>13</v>
      </c>
      <c r="E38">
        <v>474</v>
      </c>
      <c r="F38">
        <v>77960</v>
      </c>
      <c r="H38">
        <v>606.04</v>
      </c>
      <c r="I38">
        <v>0</v>
      </c>
      <c r="J38" t="s">
        <v>18</v>
      </c>
    </row>
    <row r="39" spans="1:10" x14ac:dyDescent="0.25">
      <c r="A39" t="s">
        <v>12</v>
      </c>
      <c r="B39" s="1">
        <v>46207</v>
      </c>
      <c r="D39" t="s">
        <v>13</v>
      </c>
      <c r="E39">
        <v>474</v>
      </c>
      <c r="F39">
        <v>77960</v>
      </c>
      <c r="H39">
        <v>130.35</v>
      </c>
      <c r="I39">
        <v>0</v>
      </c>
      <c r="J39" t="s">
        <v>25</v>
      </c>
    </row>
    <row r="40" spans="1:10" x14ac:dyDescent="0.25">
      <c r="A40" t="s">
        <v>12</v>
      </c>
      <c r="B40" s="1">
        <v>46207</v>
      </c>
      <c r="D40" t="s">
        <v>13</v>
      </c>
      <c r="E40">
        <v>474</v>
      </c>
      <c r="F40">
        <v>78100</v>
      </c>
      <c r="H40">
        <v>1179.78</v>
      </c>
      <c r="I40">
        <v>0</v>
      </c>
      <c r="J40" t="s">
        <v>26</v>
      </c>
    </row>
    <row r="41" spans="1:10" x14ac:dyDescent="0.25">
      <c r="A41" t="s">
        <v>12</v>
      </c>
      <c r="B41" s="1">
        <v>46207</v>
      </c>
      <c r="D41" t="s">
        <v>13</v>
      </c>
      <c r="E41">
        <v>474</v>
      </c>
      <c r="F41" t="s">
        <v>37</v>
      </c>
      <c r="H41">
        <v>82.22</v>
      </c>
      <c r="I41">
        <v>0</v>
      </c>
      <c r="J41" t="s">
        <v>38</v>
      </c>
    </row>
    <row r="42" spans="1:10" x14ac:dyDescent="0.25">
      <c r="A42" t="s">
        <v>12</v>
      </c>
      <c r="B42" s="1">
        <v>46207</v>
      </c>
      <c r="D42" t="s">
        <v>13</v>
      </c>
      <c r="E42">
        <v>474</v>
      </c>
      <c r="F42" t="s">
        <v>39</v>
      </c>
      <c r="H42">
        <v>4558.08</v>
      </c>
      <c r="I42">
        <v>0</v>
      </c>
      <c r="J42" t="s">
        <v>40</v>
      </c>
    </row>
    <row r="43" spans="1:10" x14ac:dyDescent="0.25">
      <c r="A43" t="s">
        <v>12</v>
      </c>
      <c r="B43" s="1">
        <v>46207</v>
      </c>
      <c r="D43" t="s">
        <v>13</v>
      </c>
      <c r="E43">
        <v>474</v>
      </c>
      <c r="F43" t="s">
        <v>41</v>
      </c>
      <c r="H43">
        <v>2624.51</v>
      </c>
      <c r="I43">
        <v>0</v>
      </c>
      <c r="J43" t="s">
        <v>42</v>
      </c>
    </row>
    <row r="44" spans="1:10" x14ac:dyDescent="0.25">
      <c r="A44" t="s">
        <v>12</v>
      </c>
      <c r="B44" s="1">
        <v>46207</v>
      </c>
      <c r="D44" t="s">
        <v>13</v>
      </c>
      <c r="E44">
        <v>474</v>
      </c>
      <c r="F44" t="s">
        <v>43</v>
      </c>
      <c r="H44">
        <v>3824.62</v>
      </c>
      <c r="I44">
        <v>0</v>
      </c>
      <c r="J44" t="s">
        <v>44</v>
      </c>
    </row>
    <row r="45" spans="1:10" x14ac:dyDescent="0.25">
      <c r="A45" t="s">
        <v>12</v>
      </c>
      <c r="B45" s="1">
        <v>46207</v>
      </c>
      <c r="D45" t="s">
        <v>13</v>
      </c>
      <c r="E45">
        <v>474</v>
      </c>
      <c r="F45" t="s">
        <v>45</v>
      </c>
      <c r="H45">
        <v>0.87</v>
      </c>
      <c r="I45">
        <v>0</v>
      </c>
      <c r="J45" t="s">
        <v>46</v>
      </c>
    </row>
    <row r="46" spans="1:10" x14ac:dyDescent="0.25">
      <c r="A46" t="s">
        <v>12</v>
      </c>
      <c r="B46" s="1">
        <v>46207</v>
      </c>
      <c r="D46" t="s">
        <v>13</v>
      </c>
      <c r="E46">
        <v>474</v>
      </c>
      <c r="F46" t="s">
        <v>47</v>
      </c>
      <c r="H46">
        <v>2673.13</v>
      </c>
      <c r="I46">
        <v>0</v>
      </c>
      <c r="J46" t="s">
        <v>48</v>
      </c>
    </row>
    <row r="47" spans="1:10" x14ac:dyDescent="0.25">
      <c r="A47" t="s">
        <v>12</v>
      </c>
      <c r="B47" s="1">
        <v>46207</v>
      </c>
      <c r="D47" t="s">
        <v>13</v>
      </c>
      <c r="E47">
        <v>474</v>
      </c>
      <c r="F47" t="s">
        <v>49</v>
      </c>
      <c r="H47">
        <v>7748.01</v>
      </c>
      <c r="I47">
        <v>0</v>
      </c>
      <c r="J47" t="s">
        <v>50</v>
      </c>
    </row>
    <row r="48" spans="1:10" x14ac:dyDescent="0.25">
      <c r="A48" t="s">
        <v>12</v>
      </c>
      <c r="B48" s="1">
        <v>46207</v>
      </c>
      <c r="D48" t="s">
        <v>13</v>
      </c>
      <c r="E48">
        <v>474</v>
      </c>
      <c r="F48" t="s">
        <v>51</v>
      </c>
      <c r="H48">
        <v>2772.58</v>
      </c>
      <c r="I48">
        <v>0</v>
      </c>
      <c r="J48" t="s">
        <v>52</v>
      </c>
    </row>
    <row r="49" spans="1:11" x14ac:dyDescent="0.25">
      <c r="A49" t="s">
        <v>12</v>
      </c>
      <c r="B49" s="1">
        <v>46207</v>
      </c>
      <c r="D49" t="s">
        <v>13</v>
      </c>
      <c r="E49">
        <v>474</v>
      </c>
      <c r="F49" t="s">
        <v>53</v>
      </c>
      <c r="H49">
        <v>3056.37</v>
      </c>
      <c r="I49">
        <v>0</v>
      </c>
      <c r="J49" t="s">
        <v>54</v>
      </c>
    </row>
    <row r="50" spans="1:11" x14ac:dyDescent="0.25">
      <c r="A50" t="s">
        <v>12</v>
      </c>
      <c r="B50" s="1">
        <v>46207</v>
      </c>
      <c r="D50" t="s">
        <v>13</v>
      </c>
      <c r="E50">
        <v>474</v>
      </c>
      <c r="F50" t="s">
        <v>55</v>
      </c>
      <c r="H50">
        <v>25397.15</v>
      </c>
      <c r="I50">
        <v>0</v>
      </c>
      <c r="J50" t="s">
        <v>56</v>
      </c>
    </row>
    <row r="51" spans="1:11" x14ac:dyDescent="0.25">
      <c r="A51" t="s">
        <v>12</v>
      </c>
      <c r="B51" s="1">
        <v>46207</v>
      </c>
      <c r="D51" t="s">
        <v>13</v>
      </c>
      <c r="E51">
        <v>474</v>
      </c>
      <c r="F51" t="s">
        <v>57</v>
      </c>
      <c r="H51">
        <v>5080.13</v>
      </c>
      <c r="I51">
        <v>0</v>
      </c>
      <c r="J51" t="s">
        <v>58</v>
      </c>
    </row>
    <row r="52" spans="1:11" x14ac:dyDescent="0.25">
      <c r="A52" t="s">
        <v>12</v>
      </c>
      <c r="B52" s="1">
        <v>46207</v>
      </c>
      <c r="D52" t="s">
        <v>13</v>
      </c>
      <c r="E52">
        <v>474</v>
      </c>
      <c r="F52" t="s">
        <v>59</v>
      </c>
      <c r="H52">
        <v>5728.92</v>
      </c>
      <c r="I52">
        <v>0</v>
      </c>
      <c r="J52" t="s">
        <v>60</v>
      </c>
    </row>
    <row r="53" spans="1:11" x14ac:dyDescent="0.25">
      <c r="A53" t="s">
        <v>12</v>
      </c>
      <c r="B53" s="1">
        <v>46207</v>
      </c>
      <c r="D53" t="s">
        <v>13</v>
      </c>
      <c r="E53">
        <v>474</v>
      </c>
      <c r="F53" t="s">
        <v>61</v>
      </c>
      <c r="H53">
        <v>4016.16</v>
      </c>
      <c r="I53">
        <v>0</v>
      </c>
      <c r="J53" t="s">
        <v>62</v>
      </c>
      <c r="K53" t="s">
        <v>29</v>
      </c>
    </row>
    <row r="54" spans="1:11" x14ac:dyDescent="0.25">
      <c r="A54" t="s">
        <v>12</v>
      </c>
      <c r="B54" s="1">
        <v>46207</v>
      </c>
      <c r="D54" t="s">
        <v>13</v>
      </c>
      <c r="E54">
        <v>474</v>
      </c>
      <c r="F54" t="s">
        <v>63</v>
      </c>
      <c r="H54">
        <v>3143.08</v>
      </c>
      <c r="I54">
        <v>0</v>
      </c>
      <c r="J54" t="s">
        <v>64</v>
      </c>
      <c r="K54" t="s">
        <v>29</v>
      </c>
    </row>
    <row r="55" spans="1:11" x14ac:dyDescent="0.25">
      <c r="A55" t="s">
        <v>12</v>
      </c>
      <c r="B55" s="1">
        <v>46207</v>
      </c>
      <c r="D55" t="s">
        <v>13</v>
      </c>
      <c r="E55">
        <v>474</v>
      </c>
      <c r="F55" t="s">
        <v>65</v>
      </c>
      <c r="H55">
        <v>2845.39</v>
      </c>
      <c r="I55">
        <v>0</v>
      </c>
      <c r="J55" t="s">
        <v>66</v>
      </c>
      <c r="K55" t="s">
        <v>29</v>
      </c>
    </row>
    <row r="56" spans="1:11" x14ac:dyDescent="0.25">
      <c r="A56" t="s">
        <v>12</v>
      </c>
      <c r="B56" s="1">
        <v>46207</v>
      </c>
      <c r="D56" t="s">
        <v>13</v>
      </c>
      <c r="E56">
        <v>474</v>
      </c>
      <c r="F56" t="s">
        <v>67</v>
      </c>
      <c r="H56">
        <v>281.81</v>
      </c>
      <c r="I56">
        <v>0</v>
      </c>
      <c r="J56" t="s">
        <v>68</v>
      </c>
      <c r="K56" t="s">
        <v>31</v>
      </c>
    </row>
    <row r="57" spans="1:11" x14ac:dyDescent="0.25">
      <c r="A57" t="s">
        <v>12</v>
      </c>
      <c r="B57" s="1">
        <v>46207</v>
      </c>
      <c r="D57" t="s">
        <v>13</v>
      </c>
      <c r="E57">
        <v>474</v>
      </c>
      <c r="F57" t="s">
        <v>69</v>
      </c>
      <c r="H57">
        <v>5902.21</v>
      </c>
      <c r="I57">
        <v>0</v>
      </c>
      <c r="J57" t="s">
        <v>70</v>
      </c>
      <c r="K57" t="s">
        <v>29</v>
      </c>
    </row>
    <row r="58" spans="1:11" x14ac:dyDescent="0.25">
      <c r="A58" t="s">
        <v>12</v>
      </c>
      <c r="B58" s="1">
        <v>46207</v>
      </c>
      <c r="D58" t="s">
        <v>13</v>
      </c>
      <c r="E58">
        <v>474</v>
      </c>
      <c r="F58" t="s">
        <v>71</v>
      </c>
      <c r="H58">
        <v>1117.6600000000001</v>
      </c>
      <c r="I58">
        <v>0</v>
      </c>
      <c r="J58" t="s">
        <v>72</v>
      </c>
      <c r="K58" t="s">
        <v>29</v>
      </c>
    </row>
    <row r="59" spans="1:11" x14ac:dyDescent="0.25">
      <c r="A59" t="s">
        <v>12</v>
      </c>
      <c r="B59" s="1">
        <v>46207</v>
      </c>
      <c r="D59" t="s">
        <v>13</v>
      </c>
      <c r="E59">
        <v>474</v>
      </c>
      <c r="F59" t="s">
        <v>73</v>
      </c>
      <c r="H59">
        <v>14.25</v>
      </c>
      <c r="I59">
        <v>0</v>
      </c>
      <c r="J59" t="s">
        <v>74</v>
      </c>
      <c r="K59" t="s">
        <v>29</v>
      </c>
    </row>
    <row r="60" spans="1:11" x14ac:dyDescent="0.25">
      <c r="A60" t="s">
        <v>12</v>
      </c>
      <c r="B60" s="1">
        <v>46207</v>
      </c>
      <c r="D60" t="s">
        <v>13</v>
      </c>
      <c r="E60">
        <v>474</v>
      </c>
      <c r="F60" t="s">
        <v>75</v>
      </c>
      <c r="H60">
        <v>9141.41</v>
      </c>
      <c r="I60">
        <v>0</v>
      </c>
      <c r="J60" t="s">
        <v>76</v>
      </c>
      <c r="K60" t="s">
        <v>29</v>
      </c>
    </row>
    <row r="61" spans="1:11" x14ac:dyDescent="0.25">
      <c r="A61" t="s">
        <v>12</v>
      </c>
      <c r="B61" s="1">
        <v>46207</v>
      </c>
      <c r="D61" t="s">
        <v>13</v>
      </c>
      <c r="E61">
        <v>474</v>
      </c>
      <c r="F61" t="s">
        <v>77</v>
      </c>
      <c r="H61">
        <v>2828.66</v>
      </c>
      <c r="I61">
        <v>0</v>
      </c>
      <c r="J61" t="s">
        <v>78</v>
      </c>
      <c r="K61" t="s">
        <v>29</v>
      </c>
    </row>
    <row r="62" spans="1:11" x14ac:dyDescent="0.25">
      <c r="A62" t="s">
        <v>12</v>
      </c>
      <c r="B62" s="1">
        <v>46207</v>
      </c>
      <c r="D62" t="s">
        <v>13</v>
      </c>
      <c r="E62">
        <v>474</v>
      </c>
      <c r="F62" t="s">
        <v>79</v>
      </c>
      <c r="H62">
        <v>6238.39</v>
      </c>
      <c r="I62">
        <v>0</v>
      </c>
      <c r="J62" t="s">
        <v>80</v>
      </c>
      <c r="K62" t="s">
        <v>29</v>
      </c>
    </row>
    <row r="63" spans="1:11" x14ac:dyDescent="0.25">
      <c r="A63" t="s">
        <v>12</v>
      </c>
      <c r="B63" s="1">
        <v>46207</v>
      </c>
      <c r="D63" t="s">
        <v>13</v>
      </c>
      <c r="E63">
        <v>474</v>
      </c>
      <c r="F63" t="s">
        <v>81</v>
      </c>
      <c r="H63">
        <v>5051.53</v>
      </c>
      <c r="I63">
        <v>0</v>
      </c>
      <c r="J63" t="s">
        <v>82</v>
      </c>
    </row>
    <row r="64" spans="1:11" x14ac:dyDescent="0.25">
      <c r="A64" t="s">
        <v>12</v>
      </c>
      <c r="B64" s="1">
        <v>46207</v>
      </c>
      <c r="D64" t="s">
        <v>13</v>
      </c>
      <c r="E64">
        <v>474</v>
      </c>
      <c r="F64" t="s">
        <v>83</v>
      </c>
      <c r="H64">
        <v>1356.74</v>
      </c>
      <c r="I64">
        <v>0</v>
      </c>
      <c r="J64" t="s">
        <v>84</v>
      </c>
    </row>
    <row r="65" spans="1:10" x14ac:dyDescent="0.25">
      <c r="A65" t="s">
        <v>12</v>
      </c>
      <c r="B65" s="1">
        <v>46207</v>
      </c>
      <c r="D65" t="s">
        <v>13</v>
      </c>
      <c r="E65">
        <v>474</v>
      </c>
      <c r="F65" t="s">
        <v>85</v>
      </c>
      <c r="H65">
        <v>7270.98</v>
      </c>
      <c r="I65">
        <v>0</v>
      </c>
      <c r="J65" t="s">
        <v>86</v>
      </c>
    </row>
    <row r="66" spans="1:10" x14ac:dyDescent="0.25">
      <c r="A66" t="s">
        <v>12</v>
      </c>
      <c r="B66" s="1">
        <v>46207</v>
      </c>
      <c r="D66" t="s">
        <v>13</v>
      </c>
      <c r="E66">
        <v>474</v>
      </c>
      <c r="F66" t="s">
        <v>87</v>
      </c>
      <c r="H66">
        <v>1557.69</v>
      </c>
      <c r="I66">
        <v>0</v>
      </c>
      <c r="J66" t="s">
        <v>88</v>
      </c>
    </row>
    <row r="67" spans="1:10" x14ac:dyDescent="0.25">
      <c r="A67" t="s">
        <v>12</v>
      </c>
      <c r="B67" s="1">
        <v>46207</v>
      </c>
      <c r="D67" t="s">
        <v>13</v>
      </c>
      <c r="E67">
        <v>474</v>
      </c>
      <c r="F67" t="s">
        <v>89</v>
      </c>
      <c r="H67">
        <v>3115.39</v>
      </c>
      <c r="I67">
        <v>0</v>
      </c>
      <c r="J67" t="s">
        <v>90</v>
      </c>
    </row>
    <row r="68" spans="1:10" x14ac:dyDescent="0.25">
      <c r="A68" t="s">
        <v>12</v>
      </c>
      <c r="B68" s="1">
        <v>46207</v>
      </c>
      <c r="D68" t="s">
        <v>13</v>
      </c>
      <c r="E68">
        <v>474</v>
      </c>
      <c r="F68" t="s">
        <v>91</v>
      </c>
      <c r="H68">
        <v>2.0299999999999998</v>
      </c>
      <c r="I68">
        <v>0</v>
      </c>
      <c r="J68" t="s">
        <v>92</v>
      </c>
    </row>
    <row r="69" spans="1:10" x14ac:dyDescent="0.25">
      <c r="A69" t="s">
        <v>12</v>
      </c>
      <c r="B69" s="1">
        <v>46207</v>
      </c>
      <c r="D69" t="s">
        <v>13</v>
      </c>
      <c r="E69">
        <v>474</v>
      </c>
      <c r="F69" t="s">
        <v>93</v>
      </c>
      <c r="H69">
        <v>2185.02</v>
      </c>
      <c r="I69">
        <v>0</v>
      </c>
      <c r="J69" t="s">
        <v>94</v>
      </c>
    </row>
    <row r="70" spans="1:10" x14ac:dyDescent="0.25">
      <c r="A70" t="s">
        <v>12</v>
      </c>
      <c r="B70" s="1">
        <v>46207</v>
      </c>
      <c r="D70" t="s">
        <v>13</v>
      </c>
      <c r="E70">
        <v>474</v>
      </c>
      <c r="F70" t="s">
        <v>95</v>
      </c>
      <c r="H70">
        <v>3341.58</v>
      </c>
      <c r="I70">
        <v>0</v>
      </c>
      <c r="J70" t="s">
        <v>96</v>
      </c>
    </row>
    <row r="71" spans="1:10" x14ac:dyDescent="0.25">
      <c r="A71" t="s">
        <v>12</v>
      </c>
      <c r="B71" s="1">
        <v>46207</v>
      </c>
      <c r="D71" t="s">
        <v>13</v>
      </c>
      <c r="E71">
        <v>474</v>
      </c>
      <c r="F71" t="s">
        <v>97</v>
      </c>
      <c r="H71">
        <v>3182.35</v>
      </c>
      <c r="I71">
        <v>0</v>
      </c>
      <c r="J71" t="s">
        <v>98</v>
      </c>
    </row>
    <row r="72" spans="1:10" x14ac:dyDescent="0.25">
      <c r="A72" t="s">
        <v>12</v>
      </c>
      <c r="B72" s="1">
        <v>46221</v>
      </c>
      <c r="D72" t="s">
        <v>99</v>
      </c>
      <c r="E72">
        <v>474</v>
      </c>
      <c r="F72">
        <v>21500</v>
      </c>
      <c r="H72">
        <v>0</v>
      </c>
      <c r="I72">
        <v>2205.23</v>
      </c>
      <c r="J72" t="s">
        <v>100</v>
      </c>
    </row>
    <row r="73" spans="1:10" x14ac:dyDescent="0.25">
      <c r="A73" t="s">
        <v>12</v>
      </c>
      <c r="B73" s="1">
        <v>46221</v>
      </c>
      <c r="D73" t="s">
        <v>99</v>
      </c>
      <c r="E73">
        <v>474</v>
      </c>
      <c r="F73">
        <v>21500</v>
      </c>
      <c r="H73">
        <v>0</v>
      </c>
      <c r="I73">
        <v>117166.11</v>
      </c>
      <c r="J73" t="s">
        <v>101</v>
      </c>
    </row>
    <row r="74" spans="1:10" x14ac:dyDescent="0.25">
      <c r="A74" t="s">
        <v>12</v>
      </c>
      <c r="B74" s="1">
        <v>46221</v>
      </c>
      <c r="D74" t="s">
        <v>99</v>
      </c>
      <c r="E74">
        <v>474</v>
      </c>
      <c r="F74">
        <v>21500</v>
      </c>
      <c r="H74">
        <v>0</v>
      </c>
      <c r="I74">
        <v>3253.9</v>
      </c>
      <c r="J74" t="s">
        <v>102</v>
      </c>
    </row>
    <row r="75" spans="1:10" x14ac:dyDescent="0.25">
      <c r="A75" t="s">
        <v>12</v>
      </c>
      <c r="B75" s="1">
        <v>46221</v>
      </c>
      <c r="D75" t="s">
        <v>99</v>
      </c>
      <c r="E75">
        <v>474</v>
      </c>
      <c r="F75">
        <v>21500</v>
      </c>
      <c r="H75">
        <v>0</v>
      </c>
      <c r="I75">
        <v>28025.7</v>
      </c>
      <c r="J75" t="s">
        <v>103</v>
      </c>
    </row>
    <row r="76" spans="1:10" x14ac:dyDescent="0.25">
      <c r="A76" t="s">
        <v>12</v>
      </c>
      <c r="B76" s="1">
        <v>46221</v>
      </c>
      <c r="D76" t="s">
        <v>99</v>
      </c>
      <c r="E76">
        <v>474</v>
      </c>
      <c r="F76">
        <v>21500</v>
      </c>
      <c r="H76">
        <v>0</v>
      </c>
      <c r="I76">
        <v>12846.47</v>
      </c>
      <c r="J76" t="s">
        <v>104</v>
      </c>
    </row>
    <row r="77" spans="1:10" x14ac:dyDescent="0.25">
      <c r="A77" t="s">
        <v>12</v>
      </c>
      <c r="B77" s="1">
        <v>46221</v>
      </c>
      <c r="D77" t="s">
        <v>99</v>
      </c>
      <c r="E77">
        <v>474</v>
      </c>
      <c r="F77">
        <v>21500</v>
      </c>
      <c r="H77">
        <v>0</v>
      </c>
      <c r="I77">
        <v>13184.35</v>
      </c>
      <c r="J77" t="s">
        <v>105</v>
      </c>
    </row>
    <row r="78" spans="1:10" x14ac:dyDescent="0.25">
      <c r="A78" t="s">
        <v>12</v>
      </c>
      <c r="B78" s="1">
        <v>46221</v>
      </c>
      <c r="D78" t="s">
        <v>99</v>
      </c>
      <c r="E78">
        <v>474</v>
      </c>
      <c r="F78">
        <v>22052</v>
      </c>
      <c r="H78">
        <v>10809.88</v>
      </c>
      <c r="I78">
        <v>0</v>
      </c>
      <c r="J78" t="s">
        <v>106</v>
      </c>
    </row>
    <row r="79" spans="1:10" x14ac:dyDescent="0.25">
      <c r="A79" t="s">
        <v>12</v>
      </c>
      <c r="B79" s="1">
        <v>46221</v>
      </c>
      <c r="D79" t="s">
        <v>99</v>
      </c>
      <c r="E79">
        <v>474</v>
      </c>
      <c r="F79">
        <v>22060</v>
      </c>
      <c r="H79">
        <v>0</v>
      </c>
      <c r="I79">
        <v>7374.08</v>
      </c>
      <c r="J79" t="s">
        <v>107</v>
      </c>
    </row>
    <row r="80" spans="1:10" x14ac:dyDescent="0.25">
      <c r="A80" t="s">
        <v>12</v>
      </c>
      <c r="B80" s="1">
        <v>46221</v>
      </c>
      <c r="D80" t="s">
        <v>99</v>
      </c>
      <c r="E80">
        <v>474</v>
      </c>
      <c r="F80">
        <v>60700</v>
      </c>
      <c r="H80">
        <v>2730.94</v>
      </c>
      <c r="I80">
        <v>0</v>
      </c>
      <c r="J80" t="s">
        <v>108</v>
      </c>
    </row>
    <row r="81" spans="1:11" x14ac:dyDescent="0.25">
      <c r="A81" t="s">
        <v>12</v>
      </c>
      <c r="B81" s="1">
        <v>46221</v>
      </c>
      <c r="D81" t="s">
        <v>99</v>
      </c>
      <c r="E81">
        <v>474</v>
      </c>
      <c r="F81">
        <v>60920</v>
      </c>
      <c r="H81">
        <v>32</v>
      </c>
      <c r="I81">
        <v>0</v>
      </c>
      <c r="J81" t="s">
        <v>109</v>
      </c>
    </row>
    <row r="82" spans="1:11" x14ac:dyDescent="0.25">
      <c r="A82" t="s">
        <v>12</v>
      </c>
      <c r="B82" s="1">
        <v>46221</v>
      </c>
      <c r="D82" t="s">
        <v>99</v>
      </c>
      <c r="E82">
        <v>474</v>
      </c>
      <c r="F82">
        <v>60920</v>
      </c>
      <c r="H82">
        <v>5944.51</v>
      </c>
      <c r="I82">
        <v>0</v>
      </c>
      <c r="J82" t="s">
        <v>109</v>
      </c>
    </row>
    <row r="83" spans="1:11" x14ac:dyDescent="0.25">
      <c r="A83" t="s">
        <v>12</v>
      </c>
      <c r="B83" s="1">
        <v>46221</v>
      </c>
      <c r="D83" t="s">
        <v>99</v>
      </c>
      <c r="E83">
        <v>474</v>
      </c>
      <c r="F83">
        <v>60940</v>
      </c>
      <c r="H83">
        <v>14.81</v>
      </c>
      <c r="I83">
        <v>0</v>
      </c>
      <c r="J83" t="s">
        <v>110</v>
      </c>
    </row>
    <row r="84" spans="1:11" x14ac:dyDescent="0.25">
      <c r="A84" t="s">
        <v>12</v>
      </c>
      <c r="B84" s="1">
        <v>46221</v>
      </c>
      <c r="D84" t="s">
        <v>99</v>
      </c>
      <c r="E84">
        <v>474</v>
      </c>
      <c r="F84">
        <v>60940</v>
      </c>
      <c r="H84">
        <v>5901.38</v>
      </c>
      <c r="I84">
        <v>0</v>
      </c>
      <c r="J84" t="s">
        <v>104</v>
      </c>
    </row>
    <row r="85" spans="1:11" x14ac:dyDescent="0.25">
      <c r="A85" t="s">
        <v>12</v>
      </c>
      <c r="B85" s="1">
        <v>46221</v>
      </c>
      <c r="D85" t="s">
        <v>99</v>
      </c>
      <c r="E85">
        <v>474</v>
      </c>
      <c r="F85">
        <v>60940</v>
      </c>
      <c r="H85">
        <v>659.43</v>
      </c>
      <c r="I85">
        <v>0</v>
      </c>
      <c r="J85" t="s">
        <v>110</v>
      </c>
    </row>
    <row r="86" spans="1:11" x14ac:dyDescent="0.25">
      <c r="A86" t="s">
        <v>12</v>
      </c>
      <c r="B86" s="1">
        <v>46221</v>
      </c>
      <c r="D86" t="s">
        <v>99</v>
      </c>
      <c r="E86">
        <v>474</v>
      </c>
      <c r="F86">
        <v>60990</v>
      </c>
      <c r="H86">
        <v>731.02</v>
      </c>
      <c r="I86">
        <v>0</v>
      </c>
      <c r="J86" t="s">
        <v>111</v>
      </c>
    </row>
    <row r="87" spans="1:11" x14ac:dyDescent="0.25">
      <c r="A87" t="s">
        <v>12</v>
      </c>
      <c r="B87" s="1">
        <v>46221</v>
      </c>
      <c r="D87" t="s">
        <v>99</v>
      </c>
      <c r="E87">
        <v>474</v>
      </c>
      <c r="F87">
        <v>61950</v>
      </c>
      <c r="H87">
        <v>0</v>
      </c>
      <c r="I87">
        <v>19.34</v>
      </c>
      <c r="J87" t="s">
        <v>112</v>
      </c>
    </row>
    <row r="88" spans="1:11" x14ac:dyDescent="0.25">
      <c r="A88" t="s">
        <v>12</v>
      </c>
      <c r="B88" s="1">
        <v>46221</v>
      </c>
      <c r="D88" t="s">
        <v>99</v>
      </c>
      <c r="E88">
        <v>474</v>
      </c>
      <c r="F88">
        <v>62700</v>
      </c>
      <c r="H88">
        <v>140.66</v>
      </c>
      <c r="I88">
        <v>0</v>
      </c>
      <c r="J88" t="s">
        <v>113</v>
      </c>
      <c r="K88" t="s">
        <v>29</v>
      </c>
    </row>
    <row r="89" spans="1:11" x14ac:dyDescent="0.25">
      <c r="A89" t="s">
        <v>12</v>
      </c>
      <c r="B89" s="1">
        <v>46221</v>
      </c>
      <c r="D89" t="s">
        <v>99</v>
      </c>
      <c r="E89">
        <v>474</v>
      </c>
      <c r="F89">
        <v>62920</v>
      </c>
      <c r="H89">
        <v>3416.91</v>
      </c>
      <c r="I89">
        <v>0</v>
      </c>
      <c r="J89" t="s">
        <v>114</v>
      </c>
      <c r="K89" t="s">
        <v>29</v>
      </c>
    </row>
    <row r="90" spans="1:11" x14ac:dyDescent="0.25">
      <c r="A90" t="s">
        <v>12</v>
      </c>
      <c r="B90" s="1">
        <v>46221</v>
      </c>
      <c r="D90" t="s">
        <v>99</v>
      </c>
      <c r="E90">
        <v>474</v>
      </c>
      <c r="F90">
        <v>62920</v>
      </c>
      <c r="H90">
        <v>137.80000000000001</v>
      </c>
      <c r="I90">
        <v>0</v>
      </c>
      <c r="J90" t="s">
        <v>114</v>
      </c>
      <c r="K90" t="s">
        <v>31</v>
      </c>
    </row>
    <row r="91" spans="1:11" x14ac:dyDescent="0.25">
      <c r="A91" t="s">
        <v>12</v>
      </c>
      <c r="B91" s="1">
        <v>46221</v>
      </c>
      <c r="D91" t="s">
        <v>99</v>
      </c>
      <c r="E91">
        <v>474</v>
      </c>
      <c r="F91">
        <v>62940</v>
      </c>
      <c r="H91">
        <v>3614.3</v>
      </c>
      <c r="I91">
        <v>0</v>
      </c>
      <c r="J91" t="s">
        <v>104</v>
      </c>
      <c r="K91" t="s">
        <v>29</v>
      </c>
    </row>
    <row r="92" spans="1:11" x14ac:dyDescent="0.25">
      <c r="A92" t="s">
        <v>12</v>
      </c>
      <c r="B92" s="1">
        <v>46221</v>
      </c>
      <c r="D92" t="s">
        <v>99</v>
      </c>
      <c r="E92">
        <v>474</v>
      </c>
      <c r="F92">
        <v>62940</v>
      </c>
      <c r="H92">
        <v>364.8</v>
      </c>
      <c r="I92">
        <v>0</v>
      </c>
      <c r="J92" t="s">
        <v>110</v>
      </c>
      <c r="K92" t="s">
        <v>29</v>
      </c>
    </row>
    <row r="93" spans="1:11" x14ac:dyDescent="0.25">
      <c r="A93" t="s">
        <v>12</v>
      </c>
      <c r="B93" s="1">
        <v>46221</v>
      </c>
      <c r="D93" t="s">
        <v>99</v>
      </c>
      <c r="E93">
        <v>474</v>
      </c>
      <c r="F93">
        <v>62990</v>
      </c>
      <c r="H93">
        <v>244.87</v>
      </c>
      <c r="I93">
        <v>0</v>
      </c>
      <c r="J93" t="s">
        <v>111</v>
      </c>
      <c r="K93" t="s">
        <v>29</v>
      </c>
    </row>
    <row r="94" spans="1:11" x14ac:dyDescent="0.25">
      <c r="A94" t="s">
        <v>12</v>
      </c>
      <c r="B94" s="1">
        <v>46221</v>
      </c>
      <c r="D94" t="s">
        <v>99</v>
      </c>
      <c r="E94">
        <v>474</v>
      </c>
      <c r="F94">
        <v>63905</v>
      </c>
      <c r="H94">
        <v>889.3</v>
      </c>
      <c r="I94">
        <v>0</v>
      </c>
      <c r="J94" t="s">
        <v>115</v>
      </c>
      <c r="K94" t="s">
        <v>29</v>
      </c>
    </row>
    <row r="95" spans="1:11" x14ac:dyDescent="0.25">
      <c r="A95" t="s">
        <v>12</v>
      </c>
      <c r="B95" s="1">
        <v>46221</v>
      </c>
      <c r="D95" t="s">
        <v>99</v>
      </c>
      <c r="E95">
        <v>474</v>
      </c>
      <c r="F95">
        <v>63905</v>
      </c>
      <c r="H95">
        <v>979.35</v>
      </c>
      <c r="I95">
        <v>0</v>
      </c>
      <c r="J95" t="s">
        <v>115</v>
      </c>
      <c r="K95" t="s">
        <v>31</v>
      </c>
    </row>
    <row r="96" spans="1:11" x14ac:dyDescent="0.25">
      <c r="A96" t="s">
        <v>12</v>
      </c>
      <c r="B96" s="1">
        <v>46221</v>
      </c>
      <c r="D96" t="s">
        <v>99</v>
      </c>
      <c r="E96">
        <v>474</v>
      </c>
      <c r="F96">
        <v>64905</v>
      </c>
      <c r="H96">
        <v>128.1</v>
      </c>
      <c r="I96">
        <v>0</v>
      </c>
      <c r="J96" t="s">
        <v>115</v>
      </c>
      <c r="K96" t="s">
        <v>29</v>
      </c>
    </row>
    <row r="97" spans="1:11" x14ac:dyDescent="0.25">
      <c r="A97" t="s">
        <v>12</v>
      </c>
      <c r="B97" s="1">
        <v>46221</v>
      </c>
      <c r="D97" t="s">
        <v>99</v>
      </c>
      <c r="E97">
        <v>474</v>
      </c>
      <c r="F97">
        <v>64910</v>
      </c>
      <c r="H97">
        <v>300</v>
      </c>
      <c r="I97">
        <v>0</v>
      </c>
      <c r="J97" t="s">
        <v>113</v>
      </c>
      <c r="K97" t="s">
        <v>29</v>
      </c>
    </row>
    <row r="98" spans="1:11" x14ac:dyDescent="0.25">
      <c r="A98" t="s">
        <v>12</v>
      </c>
      <c r="B98" s="1">
        <v>46221</v>
      </c>
      <c r="D98" t="s">
        <v>99</v>
      </c>
      <c r="E98">
        <v>474</v>
      </c>
      <c r="F98">
        <v>64920</v>
      </c>
      <c r="H98">
        <v>588.65</v>
      </c>
      <c r="I98">
        <v>0</v>
      </c>
      <c r="J98" t="s">
        <v>116</v>
      </c>
      <c r="K98" t="s">
        <v>29</v>
      </c>
    </row>
    <row r="99" spans="1:11" x14ac:dyDescent="0.25">
      <c r="A99" t="s">
        <v>12</v>
      </c>
      <c r="B99" s="1">
        <v>46221</v>
      </c>
      <c r="D99" t="s">
        <v>99</v>
      </c>
      <c r="E99">
        <v>474</v>
      </c>
      <c r="F99">
        <v>64990</v>
      </c>
      <c r="H99">
        <v>521.52</v>
      </c>
      <c r="I99">
        <v>0</v>
      </c>
      <c r="J99" t="s">
        <v>111</v>
      </c>
      <c r="K99" t="s">
        <v>29</v>
      </c>
    </row>
    <row r="100" spans="1:11" x14ac:dyDescent="0.25">
      <c r="A100" t="s">
        <v>12</v>
      </c>
      <c r="B100" s="1">
        <v>46221</v>
      </c>
      <c r="D100" t="s">
        <v>99</v>
      </c>
      <c r="E100">
        <v>474</v>
      </c>
      <c r="F100">
        <v>73920</v>
      </c>
      <c r="H100">
        <v>1491.98</v>
      </c>
      <c r="I100">
        <v>0</v>
      </c>
      <c r="J100" t="s">
        <v>117</v>
      </c>
    </row>
    <row r="101" spans="1:11" x14ac:dyDescent="0.25">
      <c r="A101" t="s">
        <v>12</v>
      </c>
      <c r="B101" s="1">
        <v>46221</v>
      </c>
      <c r="D101" t="s">
        <v>99</v>
      </c>
      <c r="E101">
        <v>474</v>
      </c>
      <c r="F101">
        <v>73940</v>
      </c>
      <c r="H101">
        <v>1708.4</v>
      </c>
      <c r="I101">
        <v>0</v>
      </c>
      <c r="J101" t="s">
        <v>104</v>
      </c>
    </row>
    <row r="102" spans="1:11" x14ac:dyDescent="0.25">
      <c r="A102" t="s">
        <v>12</v>
      </c>
      <c r="B102" s="1">
        <v>46221</v>
      </c>
      <c r="D102" t="s">
        <v>99</v>
      </c>
      <c r="E102">
        <v>474</v>
      </c>
      <c r="F102">
        <v>73940</v>
      </c>
      <c r="H102">
        <v>639.57000000000005</v>
      </c>
      <c r="I102">
        <v>0</v>
      </c>
      <c r="J102" t="s">
        <v>110</v>
      </c>
    </row>
    <row r="103" spans="1:11" x14ac:dyDescent="0.25">
      <c r="A103" t="s">
        <v>12</v>
      </c>
      <c r="B103" s="1">
        <v>46221</v>
      </c>
      <c r="D103" t="s">
        <v>99</v>
      </c>
      <c r="E103">
        <v>474</v>
      </c>
      <c r="F103">
        <v>75920</v>
      </c>
      <c r="H103">
        <v>924.34</v>
      </c>
      <c r="I103">
        <v>0</v>
      </c>
      <c r="J103" t="s">
        <v>118</v>
      </c>
    </row>
    <row r="104" spans="1:11" x14ac:dyDescent="0.25">
      <c r="A104" t="s">
        <v>12</v>
      </c>
      <c r="B104" s="1">
        <v>46221</v>
      </c>
      <c r="D104" t="s">
        <v>99</v>
      </c>
      <c r="E104">
        <v>474</v>
      </c>
      <c r="F104">
        <v>75940</v>
      </c>
      <c r="H104">
        <v>1016.35</v>
      </c>
      <c r="I104">
        <v>0</v>
      </c>
      <c r="J104" t="s">
        <v>104</v>
      </c>
    </row>
    <row r="105" spans="1:11" x14ac:dyDescent="0.25">
      <c r="A105" t="s">
        <v>12</v>
      </c>
      <c r="B105" s="1">
        <v>46221</v>
      </c>
      <c r="D105" t="s">
        <v>99</v>
      </c>
      <c r="E105">
        <v>474</v>
      </c>
      <c r="F105">
        <v>77940</v>
      </c>
      <c r="H105">
        <v>647.44000000000005</v>
      </c>
      <c r="I105">
        <v>0</v>
      </c>
      <c r="J105" t="s">
        <v>119</v>
      </c>
    </row>
    <row r="106" spans="1:11" x14ac:dyDescent="0.25">
      <c r="A106" t="s">
        <v>12</v>
      </c>
      <c r="B106" s="1">
        <v>46221</v>
      </c>
      <c r="D106" t="s">
        <v>99</v>
      </c>
      <c r="E106">
        <v>474</v>
      </c>
      <c r="F106">
        <v>77960</v>
      </c>
      <c r="H106">
        <v>606.04</v>
      </c>
      <c r="I106">
        <v>0</v>
      </c>
      <c r="J106" t="s">
        <v>104</v>
      </c>
    </row>
    <row r="107" spans="1:11" x14ac:dyDescent="0.25">
      <c r="A107" t="s">
        <v>12</v>
      </c>
      <c r="B107" s="1">
        <v>46221</v>
      </c>
      <c r="D107" t="s">
        <v>99</v>
      </c>
      <c r="E107">
        <v>474</v>
      </c>
      <c r="F107">
        <v>77960</v>
      </c>
      <c r="H107">
        <v>133.94999999999999</v>
      </c>
      <c r="I107">
        <v>0</v>
      </c>
      <c r="J107" t="s">
        <v>110</v>
      </c>
    </row>
    <row r="108" spans="1:11" x14ac:dyDescent="0.25">
      <c r="A108" t="s">
        <v>12</v>
      </c>
      <c r="B108" s="1">
        <v>46221</v>
      </c>
      <c r="D108" t="s">
        <v>99</v>
      </c>
      <c r="E108">
        <v>474</v>
      </c>
      <c r="F108">
        <v>78100</v>
      </c>
      <c r="H108">
        <v>1689.76</v>
      </c>
      <c r="I108">
        <v>0</v>
      </c>
      <c r="J108" t="s">
        <v>111</v>
      </c>
    </row>
    <row r="109" spans="1:11" x14ac:dyDescent="0.25">
      <c r="A109" t="s">
        <v>12</v>
      </c>
      <c r="B109" s="1">
        <v>46221</v>
      </c>
      <c r="D109" t="s">
        <v>99</v>
      </c>
      <c r="E109">
        <v>474</v>
      </c>
      <c r="F109" t="s">
        <v>37</v>
      </c>
      <c r="H109">
        <v>72.69</v>
      </c>
      <c r="I109">
        <v>0</v>
      </c>
      <c r="J109" t="s">
        <v>120</v>
      </c>
    </row>
    <row r="110" spans="1:11" x14ac:dyDescent="0.25">
      <c r="A110" t="s">
        <v>12</v>
      </c>
      <c r="B110" s="1">
        <v>46221</v>
      </c>
      <c r="D110" t="s">
        <v>99</v>
      </c>
      <c r="E110">
        <v>474</v>
      </c>
      <c r="F110" t="s">
        <v>39</v>
      </c>
      <c r="H110">
        <v>4220.41</v>
      </c>
      <c r="I110">
        <v>0</v>
      </c>
      <c r="J110" t="s">
        <v>121</v>
      </c>
    </row>
    <row r="111" spans="1:11" x14ac:dyDescent="0.25">
      <c r="A111" t="s">
        <v>12</v>
      </c>
      <c r="B111" s="1">
        <v>46221</v>
      </c>
      <c r="D111" t="s">
        <v>99</v>
      </c>
      <c r="E111">
        <v>474</v>
      </c>
      <c r="F111" t="s">
        <v>41</v>
      </c>
      <c r="H111">
        <v>3394.89</v>
      </c>
      <c r="I111">
        <v>0</v>
      </c>
      <c r="J111" t="s">
        <v>122</v>
      </c>
    </row>
    <row r="112" spans="1:11" x14ac:dyDescent="0.25">
      <c r="A112" t="s">
        <v>12</v>
      </c>
      <c r="B112" s="1">
        <v>46221</v>
      </c>
      <c r="D112" t="s">
        <v>99</v>
      </c>
      <c r="E112">
        <v>474</v>
      </c>
      <c r="F112" t="s">
        <v>43</v>
      </c>
      <c r="H112">
        <v>4315.3900000000003</v>
      </c>
      <c r="I112">
        <v>0</v>
      </c>
      <c r="J112" t="s">
        <v>123</v>
      </c>
    </row>
    <row r="113" spans="1:11" x14ac:dyDescent="0.25">
      <c r="A113" t="s">
        <v>12</v>
      </c>
      <c r="B113" s="1">
        <v>46221</v>
      </c>
      <c r="D113" t="s">
        <v>99</v>
      </c>
      <c r="E113">
        <v>474</v>
      </c>
      <c r="F113" t="s">
        <v>45</v>
      </c>
      <c r="H113">
        <v>24.64</v>
      </c>
      <c r="I113">
        <v>0</v>
      </c>
      <c r="J113" t="s">
        <v>124</v>
      </c>
    </row>
    <row r="114" spans="1:11" x14ac:dyDescent="0.25">
      <c r="A114" t="s">
        <v>12</v>
      </c>
      <c r="B114" s="1">
        <v>46221</v>
      </c>
      <c r="D114" t="s">
        <v>99</v>
      </c>
      <c r="E114">
        <v>474</v>
      </c>
      <c r="F114" t="s">
        <v>47</v>
      </c>
      <c r="H114">
        <v>2387.5100000000002</v>
      </c>
      <c r="I114">
        <v>0</v>
      </c>
      <c r="J114" t="s">
        <v>125</v>
      </c>
    </row>
    <row r="115" spans="1:11" x14ac:dyDescent="0.25">
      <c r="A115" t="s">
        <v>12</v>
      </c>
      <c r="B115" s="1">
        <v>46221</v>
      </c>
      <c r="D115" t="s">
        <v>99</v>
      </c>
      <c r="E115">
        <v>474</v>
      </c>
      <c r="F115" t="s">
        <v>49</v>
      </c>
      <c r="H115">
        <v>7663.18</v>
      </c>
      <c r="I115">
        <v>0</v>
      </c>
      <c r="J115" t="s">
        <v>126</v>
      </c>
    </row>
    <row r="116" spans="1:11" x14ac:dyDescent="0.25">
      <c r="A116" t="s">
        <v>12</v>
      </c>
      <c r="B116" s="1">
        <v>46221</v>
      </c>
      <c r="D116" t="s">
        <v>99</v>
      </c>
      <c r="E116">
        <v>474</v>
      </c>
      <c r="F116" t="s">
        <v>127</v>
      </c>
      <c r="H116">
        <v>142.51</v>
      </c>
      <c r="I116">
        <v>0</v>
      </c>
      <c r="J116" t="s">
        <v>128</v>
      </c>
    </row>
    <row r="117" spans="1:11" x14ac:dyDescent="0.25">
      <c r="A117" t="s">
        <v>12</v>
      </c>
      <c r="B117" s="1">
        <v>46221</v>
      </c>
      <c r="D117" t="s">
        <v>99</v>
      </c>
      <c r="E117">
        <v>474</v>
      </c>
      <c r="F117" t="s">
        <v>51</v>
      </c>
      <c r="H117">
        <v>2184</v>
      </c>
      <c r="I117">
        <v>0</v>
      </c>
      <c r="J117" t="s">
        <v>129</v>
      </c>
    </row>
    <row r="118" spans="1:11" x14ac:dyDescent="0.25">
      <c r="A118" t="s">
        <v>12</v>
      </c>
      <c r="B118" s="1">
        <v>46221</v>
      </c>
      <c r="D118" t="s">
        <v>99</v>
      </c>
      <c r="E118">
        <v>474</v>
      </c>
      <c r="F118" t="s">
        <v>53</v>
      </c>
      <c r="H118">
        <v>3500.68</v>
      </c>
      <c r="I118">
        <v>0</v>
      </c>
      <c r="J118" t="s">
        <v>130</v>
      </c>
    </row>
    <row r="119" spans="1:11" x14ac:dyDescent="0.25">
      <c r="A119" t="s">
        <v>12</v>
      </c>
      <c r="B119" s="1">
        <v>46221</v>
      </c>
      <c r="D119" t="s">
        <v>99</v>
      </c>
      <c r="E119">
        <v>474</v>
      </c>
      <c r="F119" t="s">
        <v>131</v>
      </c>
      <c r="H119">
        <v>375.13</v>
      </c>
      <c r="I119">
        <v>0</v>
      </c>
      <c r="J119" t="s">
        <v>132</v>
      </c>
    </row>
    <row r="120" spans="1:11" x14ac:dyDescent="0.25">
      <c r="A120" t="s">
        <v>12</v>
      </c>
      <c r="B120" s="1">
        <v>46221</v>
      </c>
      <c r="D120" t="s">
        <v>99</v>
      </c>
      <c r="E120">
        <v>474</v>
      </c>
      <c r="F120" t="s">
        <v>55</v>
      </c>
      <c r="H120">
        <v>26913.360000000001</v>
      </c>
      <c r="I120">
        <v>0</v>
      </c>
      <c r="J120" t="s">
        <v>133</v>
      </c>
    </row>
    <row r="121" spans="1:11" x14ac:dyDescent="0.25">
      <c r="A121" t="s">
        <v>12</v>
      </c>
      <c r="B121" s="1">
        <v>46221</v>
      </c>
      <c r="D121" t="s">
        <v>99</v>
      </c>
      <c r="E121">
        <v>474</v>
      </c>
      <c r="F121" t="s">
        <v>57</v>
      </c>
      <c r="H121">
        <v>5441.08</v>
      </c>
      <c r="I121">
        <v>0</v>
      </c>
      <c r="J121" t="s">
        <v>134</v>
      </c>
    </row>
    <row r="122" spans="1:11" x14ac:dyDescent="0.25">
      <c r="A122" t="s">
        <v>12</v>
      </c>
      <c r="B122" s="1">
        <v>46221</v>
      </c>
      <c r="D122" t="s">
        <v>99</v>
      </c>
      <c r="E122">
        <v>474</v>
      </c>
      <c r="F122" t="s">
        <v>135</v>
      </c>
      <c r="H122">
        <v>113.62</v>
      </c>
      <c r="I122">
        <v>0</v>
      </c>
      <c r="J122" t="s">
        <v>136</v>
      </c>
    </row>
    <row r="123" spans="1:11" x14ac:dyDescent="0.25">
      <c r="A123" t="s">
        <v>12</v>
      </c>
      <c r="B123" s="1">
        <v>46221</v>
      </c>
      <c r="D123" t="s">
        <v>99</v>
      </c>
      <c r="E123">
        <v>474</v>
      </c>
      <c r="F123" t="s">
        <v>59</v>
      </c>
      <c r="H123">
        <v>5585.62</v>
      </c>
      <c r="I123">
        <v>0</v>
      </c>
      <c r="J123" t="s">
        <v>137</v>
      </c>
    </row>
    <row r="124" spans="1:11" x14ac:dyDescent="0.25">
      <c r="A124" t="s">
        <v>12</v>
      </c>
      <c r="B124" s="1">
        <v>46221</v>
      </c>
      <c r="D124" t="s">
        <v>99</v>
      </c>
      <c r="E124">
        <v>474</v>
      </c>
      <c r="F124" t="s">
        <v>61</v>
      </c>
      <c r="H124">
        <v>4600</v>
      </c>
      <c r="I124">
        <v>0</v>
      </c>
      <c r="J124" t="s">
        <v>138</v>
      </c>
      <c r="K124" t="s">
        <v>29</v>
      </c>
    </row>
    <row r="125" spans="1:11" x14ac:dyDescent="0.25">
      <c r="A125" t="s">
        <v>12</v>
      </c>
      <c r="B125" s="1">
        <v>46221</v>
      </c>
      <c r="D125" t="s">
        <v>99</v>
      </c>
      <c r="E125">
        <v>474</v>
      </c>
      <c r="F125" t="s">
        <v>63</v>
      </c>
      <c r="H125">
        <v>3600</v>
      </c>
      <c r="I125">
        <v>0</v>
      </c>
      <c r="J125" t="s">
        <v>139</v>
      </c>
      <c r="K125" t="s">
        <v>29</v>
      </c>
    </row>
    <row r="126" spans="1:11" x14ac:dyDescent="0.25">
      <c r="A126" t="s">
        <v>12</v>
      </c>
      <c r="B126" s="1">
        <v>46221</v>
      </c>
      <c r="D126" t="s">
        <v>99</v>
      </c>
      <c r="E126">
        <v>474</v>
      </c>
      <c r="F126" t="s">
        <v>65</v>
      </c>
      <c r="H126">
        <v>3161.54</v>
      </c>
      <c r="I126">
        <v>0</v>
      </c>
      <c r="J126" t="s">
        <v>140</v>
      </c>
      <c r="K126" t="s">
        <v>29</v>
      </c>
    </row>
    <row r="127" spans="1:11" x14ac:dyDescent="0.25">
      <c r="A127" t="s">
        <v>12</v>
      </c>
      <c r="B127" s="1">
        <v>46221</v>
      </c>
      <c r="D127" t="s">
        <v>99</v>
      </c>
      <c r="E127">
        <v>474</v>
      </c>
      <c r="F127" t="s">
        <v>67</v>
      </c>
      <c r="H127">
        <v>511.53</v>
      </c>
      <c r="I127">
        <v>0</v>
      </c>
      <c r="J127" t="s">
        <v>141</v>
      </c>
      <c r="K127" t="s">
        <v>31</v>
      </c>
    </row>
    <row r="128" spans="1:11" x14ac:dyDescent="0.25">
      <c r="A128" t="s">
        <v>12</v>
      </c>
      <c r="B128" s="1">
        <v>46221</v>
      </c>
      <c r="D128" t="s">
        <v>99</v>
      </c>
      <c r="E128">
        <v>474</v>
      </c>
      <c r="F128" t="s">
        <v>69</v>
      </c>
      <c r="H128">
        <v>5397.11</v>
      </c>
      <c r="I128">
        <v>0</v>
      </c>
      <c r="J128" t="s">
        <v>142</v>
      </c>
      <c r="K128" t="s">
        <v>29</v>
      </c>
    </row>
    <row r="129" spans="1:11" x14ac:dyDescent="0.25">
      <c r="A129" t="s">
        <v>12</v>
      </c>
      <c r="B129" s="1">
        <v>46221</v>
      </c>
      <c r="D129" t="s">
        <v>99</v>
      </c>
      <c r="E129">
        <v>474</v>
      </c>
      <c r="F129" t="s">
        <v>71</v>
      </c>
      <c r="H129">
        <v>1406.27</v>
      </c>
      <c r="I129">
        <v>0</v>
      </c>
      <c r="J129" t="s">
        <v>143</v>
      </c>
      <c r="K129" t="s">
        <v>29</v>
      </c>
    </row>
    <row r="130" spans="1:11" x14ac:dyDescent="0.25">
      <c r="A130" t="s">
        <v>12</v>
      </c>
      <c r="B130" s="1">
        <v>46221</v>
      </c>
      <c r="D130" t="s">
        <v>99</v>
      </c>
      <c r="E130">
        <v>474</v>
      </c>
      <c r="F130" t="s">
        <v>73</v>
      </c>
      <c r="H130">
        <v>96.97</v>
      </c>
      <c r="I130">
        <v>0</v>
      </c>
      <c r="J130" t="s">
        <v>144</v>
      </c>
      <c r="K130" t="s">
        <v>29</v>
      </c>
    </row>
    <row r="131" spans="1:11" x14ac:dyDescent="0.25">
      <c r="A131" t="s">
        <v>12</v>
      </c>
      <c r="B131" s="1">
        <v>46221</v>
      </c>
      <c r="D131" t="s">
        <v>99</v>
      </c>
      <c r="E131">
        <v>474</v>
      </c>
      <c r="F131" t="s">
        <v>75</v>
      </c>
      <c r="H131">
        <v>8329.52</v>
      </c>
      <c r="I131">
        <v>0</v>
      </c>
      <c r="J131" t="s">
        <v>145</v>
      </c>
      <c r="K131" t="s">
        <v>29</v>
      </c>
    </row>
    <row r="132" spans="1:11" x14ac:dyDescent="0.25">
      <c r="A132" t="s">
        <v>12</v>
      </c>
      <c r="B132" s="1">
        <v>46221</v>
      </c>
      <c r="D132" t="s">
        <v>99</v>
      </c>
      <c r="E132">
        <v>474</v>
      </c>
      <c r="F132" t="s">
        <v>77</v>
      </c>
      <c r="H132">
        <v>2948.07</v>
      </c>
      <c r="I132">
        <v>0</v>
      </c>
      <c r="J132" t="s">
        <v>146</v>
      </c>
      <c r="K132" t="s">
        <v>29</v>
      </c>
    </row>
    <row r="133" spans="1:11" x14ac:dyDescent="0.25">
      <c r="A133" t="s">
        <v>12</v>
      </c>
      <c r="B133" s="1">
        <v>46221</v>
      </c>
      <c r="D133" t="s">
        <v>99</v>
      </c>
      <c r="E133">
        <v>474</v>
      </c>
      <c r="F133" t="s">
        <v>79</v>
      </c>
      <c r="H133">
        <v>5474.11</v>
      </c>
      <c r="I133">
        <v>0</v>
      </c>
      <c r="J133" t="s">
        <v>147</v>
      </c>
      <c r="K133" t="s">
        <v>29</v>
      </c>
    </row>
    <row r="134" spans="1:11" x14ac:dyDescent="0.25">
      <c r="A134" t="s">
        <v>12</v>
      </c>
      <c r="B134" s="1">
        <v>46221</v>
      </c>
      <c r="D134" t="s">
        <v>99</v>
      </c>
      <c r="E134">
        <v>474</v>
      </c>
      <c r="F134" t="s">
        <v>81</v>
      </c>
      <c r="H134">
        <v>6424.64</v>
      </c>
      <c r="I134">
        <v>0</v>
      </c>
      <c r="J134" t="s">
        <v>148</v>
      </c>
    </row>
    <row r="135" spans="1:11" x14ac:dyDescent="0.25">
      <c r="A135" t="s">
        <v>12</v>
      </c>
      <c r="B135" s="1">
        <v>46221</v>
      </c>
      <c r="D135" t="s">
        <v>99</v>
      </c>
      <c r="E135">
        <v>474</v>
      </c>
      <c r="F135" t="s">
        <v>83</v>
      </c>
      <c r="H135">
        <v>3459.69</v>
      </c>
      <c r="I135">
        <v>0</v>
      </c>
      <c r="J135" t="s">
        <v>149</v>
      </c>
    </row>
    <row r="136" spans="1:11" x14ac:dyDescent="0.25">
      <c r="A136" t="s">
        <v>12</v>
      </c>
      <c r="B136" s="1">
        <v>46221</v>
      </c>
      <c r="D136" t="s">
        <v>99</v>
      </c>
      <c r="E136">
        <v>474</v>
      </c>
      <c r="F136" t="s">
        <v>85</v>
      </c>
      <c r="H136">
        <v>8699.64</v>
      </c>
      <c r="I136">
        <v>0</v>
      </c>
      <c r="J136" t="s">
        <v>150</v>
      </c>
    </row>
    <row r="137" spans="1:11" x14ac:dyDescent="0.25">
      <c r="A137" t="s">
        <v>12</v>
      </c>
      <c r="B137" s="1">
        <v>46221</v>
      </c>
      <c r="D137" t="s">
        <v>99</v>
      </c>
      <c r="E137">
        <v>474</v>
      </c>
      <c r="F137" t="s">
        <v>87</v>
      </c>
      <c r="H137">
        <v>5192.3100000000004</v>
      </c>
      <c r="I137">
        <v>0</v>
      </c>
      <c r="J137" t="s">
        <v>151</v>
      </c>
    </row>
    <row r="138" spans="1:11" x14ac:dyDescent="0.25">
      <c r="A138" t="s">
        <v>12</v>
      </c>
      <c r="B138" s="1">
        <v>46221</v>
      </c>
      <c r="D138" t="s">
        <v>99</v>
      </c>
      <c r="E138">
        <v>474</v>
      </c>
      <c r="F138" t="s">
        <v>89</v>
      </c>
      <c r="H138">
        <v>3461.54</v>
      </c>
      <c r="I138">
        <v>0</v>
      </c>
      <c r="J138" t="s">
        <v>152</v>
      </c>
    </row>
    <row r="139" spans="1:11" x14ac:dyDescent="0.25">
      <c r="A139" t="s">
        <v>12</v>
      </c>
      <c r="B139" s="1">
        <v>46221</v>
      </c>
      <c r="D139" t="s">
        <v>99</v>
      </c>
      <c r="E139">
        <v>474</v>
      </c>
      <c r="F139" t="s">
        <v>91</v>
      </c>
      <c r="H139">
        <v>6.32</v>
      </c>
      <c r="I139">
        <v>0</v>
      </c>
      <c r="J139" t="s">
        <v>153</v>
      </c>
    </row>
    <row r="140" spans="1:11" x14ac:dyDescent="0.25">
      <c r="A140" t="s">
        <v>12</v>
      </c>
      <c r="B140" s="1">
        <v>46221</v>
      </c>
      <c r="D140" t="s">
        <v>99</v>
      </c>
      <c r="E140">
        <v>474</v>
      </c>
      <c r="F140" t="s">
        <v>93</v>
      </c>
      <c r="H140">
        <v>2087.75</v>
      </c>
      <c r="I140">
        <v>0</v>
      </c>
      <c r="J140" t="s">
        <v>154</v>
      </c>
    </row>
    <row r="141" spans="1:11" x14ac:dyDescent="0.25">
      <c r="A141" t="s">
        <v>12</v>
      </c>
      <c r="B141" s="1">
        <v>46221</v>
      </c>
      <c r="D141" t="s">
        <v>99</v>
      </c>
      <c r="E141">
        <v>474</v>
      </c>
      <c r="F141" t="s">
        <v>95</v>
      </c>
      <c r="H141">
        <v>3731.69</v>
      </c>
      <c r="I141">
        <v>0</v>
      </c>
      <c r="J141" t="s">
        <v>155</v>
      </c>
    </row>
    <row r="142" spans="1:11" x14ac:dyDescent="0.25">
      <c r="A142" t="s">
        <v>12</v>
      </c>
      <c r="B142" s="1">
        <v>46221</v>
      </c>
      <c r="D142" t="s">
        <v>99</v>
      </c>
      <c r="E142">
        <v>474</v>
      </c>
      <c r="F142" t="s">
        <v>97</v>
      </c>
      <c r="H142">
        <v>2143.71</v>
      </c>
      <c r="I142">
        <v>0</v>
      </c>
      <c r="J142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8BD0-FA6B-4B06-A4AD-DE9F309CC17E}">
  <dimension ref="A1:P432"/>
  <sheetViews>
    <sheetView workbookViewId="0">
      <selection activeCell="A3" sqref="A3:L37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15.28515625" bestFit="1" customWidth="1"/>
    <col min="4" max="4" width="9" bestFit="1" customWidth="1"/>
    <col min="5" max="5" width="31.5703125" bestFit="1" customWidth="1"/>
    <col min="6" max="6" width="25.28515625" bestFit="1" customWidth="1"/>
    <col min="7" max="7" width="40" bestFit="1" customWidth="1"/>
  </cols>
  <sheetData>
    <row r="1" spans="1:7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</row>
    <row r="2" spans="1:7" x14ac:dyDescent="0.25">
      <c r="A2" t="s">
        <v>39</v>
      </c>
      <c r="B2">
        <v>60000</v>
      </c>
      <c r="D2">
        <v>600000</v>
      </c>
      <c r="E2" t="s">
        <v>170</v>
      </c>
      <c r="F2" t="s">
        <v>171</v>
      </c>
      <c r="G2" t="s">
        <v>172</v>
      </c>
    </row>
    <row r="3" spans="1:7" x14ac:dyDescent="0.25">
      <c r="A3" t="s">
        <v>37</v>
      </c>
      <c r="B3">
        <v>60000</v>
      </c>
      <c r="D3">
        <v>600000</v>
      </c>
      <c r="E3" t="s">
        <v>170</v>
      </c>
      <c r="F3" t="s">
        <v>171</v>
      </c>
      <c r="G3" t="s">
        <v>173</v>
      </c>
    </row>
    <row r="4" spans="1:7" x14ac:dyDescent="0.25">
      <c r="A4" t="s">
        <v>39</v>
      </c>
      <c r="B4">
        <v>60000</v>
      </c>
      <c r="D4">
        <v>600001</v>
      </c>
      <c r="E4" t="s">
        <v>174</v>
      </c>
      <c r="F4" t="s">
        <v>171</v>
      </c>
      <c r="G4" t="s">
        <v>172</v>
      </c>
    </row>
    <row r="5" spans="1:7" x14ac:dyDescent="0.25">
      <c r="A5" t="s">
        <v>37</v>
      </c>
      <c r="B5">
        <v>60000</v>
      </c>
      <c r="D5">
        <v>600001</v>
      </c>
      <c r="E5" t="s">
        <v>174</v>
      </c>
      <c r="F5" t="s">
        <v>171</v>
      </c>
      <c r="G5" t="s">
        <v>173</v>
      </c>
    </row>
    <row r="6" spans="1:7" x14ac:dyDescent="0.25">
      <c r="A6" t="s">
        <v>41</v>
      </c>
      <c r="B6">
        <v>60010</v>
      </c>
      <c r="D6">
        <v>600100</v>
      </c>
      <c r="E6" t="s">
        <v>175</v>
      </c>
      <c r="F6" t="s">
        <v>171</v>
      </c>
      <c r="G6" t="s">
        <v>176</v>
      </c>
    </row>
    <row r="7" spans="1:7" x14ac:dyDescent="0.25">
      <c r="A7" t="s">
        <v>177</v>
      </c>
      <c r="B7">
        <v>60010</v>
      </c>
      <c r="D7">
        <v>600100</v>
      </c>
      <c r="E7" t="s">
        <v>175</v>
      </c>
      <c r="F7" t="s">
        <v>171</v>
      </c>
      <c r="G7" t="s">
        <v>178</v>
      </c>
    </row>
    <row r="8" spans="1:7" x14ac:dyDescent="0.25">
      <c r="A8" t="s">
        <v>179</v>
      </c>
      <c r="B8">
        <v>60015</v>
      </c>
      <c r="D8">
        <v>600150</v>
      </c>
      <c r="E8" t="s">
        <v>180</v>
      </c>
      <c r="F8" t="s">
        <v>171</v>
      </c>
      <c r="G8" t="s">
        <v>181</v>
      </c>
    </row>
    <row r="9" spans="1:7" x14ac:dyDescent="0.25">
      <c r="A9" t="s">
        <v>182</v>
      </c>
      <c r="B9">
        <v>60015</v>
      </c>
      <c r="D9">
        <v>600150</v>
      </c>
      <c r="E9" t="s">
        <v>180</v>
      </c>
      <c r="F9" t="s">
        <v>171</v>
      </c>
      <c r="G9" t="s">
        <v>183</v>
      </c>
    </row>
    <row r="10" spans="1:7" x14ac:dyDescent="0.25">
      <c r="A10" t="s">
        <v>43</v>
      </c>
      <c r="B10">
        <v>60020</v>
      </c>
      <c r="D10">
        <v>600200</v>
      </c>
      <c r="E10" t="s">
        <v>184</v>
      </c>
      <c r="F10" t="s">
        <v>171</v>
      </c>
      <c r="G10" t="s">
        <v>185</v>
      </c>
    </row>
    <row r="11" spans="1:7" x14ac:dyDescent="0.25">
      <c r="A11" t="s">
        <v>186</v>
      </c>
      <c r="B11">
        <v>60020</v>
      </c>
      <c r="D11">
        <v>600200</v>
      </c>
      <c r="E11" t="s">
        <v>184</v>
      </c>
      <c r="F11" t="s">
        <v>171</v>
      </c>
      <c r="G11" t="s">
        <v>187</v>
      </c>
    </row>
    <row r="12" spans="1:7" x14ac:dyDescent="0.25">
      <c r="A12" t="s">
        <v>188</v>
      </c>
      <c r="B12">
        <v>60030</v>
      </c>
      <c r="D12">
        <v>600300</v>
      </c>
      <c r="E12" t="s">
        <v>189</v>
      </c>
      <c r="F12" t="s">
        <v>190</v>
      </c>
      <c r="G12" t="s">
        <v>191</v>
      </c>
    </row>
    <row r="13" spans="1:7" x14ac:dyDescent="0.25">
      <c r="A13" t="s">
        <v>192</v>
      </c>
      <c r="B13">
        <v>60030</v>
      </c>
      <c r="D13">
        <v>600300</v>
      </c>
      <c r="E13" t="s">
        <v>189</v>
      </c>
      <c r="F13" t="s">
        <v>190</v>
      </c>
      <c r="G13" t="s">
        <v>193</v>
      </c>
    </row>
    <row r="14" spans="1:7" x14ac:dyDescent="0.25">
      <c r="A14" t="s">
        <v>47</v>
      </c>
      <c r="B14">
        <v>60040</v>
      </c>
      <c r="D14">
        <v>600400</v>
      </c>
      <c r="E14" t="s">
        <v>194</v>
      </c>
      <c r="F14" t="s">
        <v>171</v>
      </c>
      <c r="G14" t="s">
        <v>195</v>
      </c>
    </row>
    <row r="15" spans="1:7" x14ac:dyDescent="0.25">
      <c r="A15" t="s">
        <v>45</v>
      </c>
      <c r="B15">
        <v>60040</v>
      </c>
      <c r="D15">
        <v>600400</v>
      </c>
      <c r="E15" t="s">
        <v>194</v>
      </c>
      <c r="F15" t="s">
        <v>171</v>
      </c>
      <c r="G15" t="s">
        <v>196</v>
      </c>
    </row>
    <row r="16" spans="1:7" x14ac:dyDescent="0.25">
      <c r="A16" t="s">
        <v>49</v>
      </c>
      <c r="B16">
        <v>60050</v>
      </c>
      <c r="D16">
        <v>600500</v>
      </c>
      <c r="E16" t="s">
        <v>197</v>
      </c>
      <c r="F16" t="s">
        <v>171</v>
      </c>
      <c r="G16" t="s">
        <v>198</v>
      </c>
    </row>
    <row r="17" spans="1:7" x14ac:dyDescent="0.25">
      <c r="A17" t="s">
        <v>199</v>
      </c>
      <c r="B17">
        <v>60050</v>
      </c>
      <c r="D17">
        <v>600500</v>
      </c>
      <c r="E17" t="s">
        <v>197</v>
      </c>
      <c r="F17" t="s">
        <v>171</v>
      </c>
      <c r="G17" t="s">
        <v>200</v>
      </c>
    </row>
    <row r="18" spans="1:7" x14ac:dyDescent="0.25">
      <c r="A18" t="s">
        <v>49</v>
      </c>
      <c r="B18">
        <v>60050</v>
      </c>
      <c r="D18">
        <v>600501</v>
      </c>
      <c r="E18" t="s">
        <v>201</v>
      </c>
      <c r="F18" t="s">
        <v>171</v>
      </c>
      <c r="G18" t="s">
        <v>198</v>
      </c>
    </row>
    <row r="19" spans="1:7" x14ac:dyDescent="0.25">
      <c r="A19" t="s">
        <v>199</v>
      </c>
      <c r="B19">
        <v>60050</v>
      </c>
      <c r="D19">
        <v>600501</v>
      </c>
      <c r="E19" t="s">
        <v>201</v>
      </c>
      <c r="F19" t="s">
        <v>171</v>
      </c>
      <c r="G19" t="s">
        <v>200</v>
      </c>
    </row>
    <row r="20" spans="1:7" x14ac:dyDescent="0.25">
      <c r="A20" t="s">
        <v>49</v>
      </c>
      <c r="B20">
        <v>60050</v>
      </c>
      <c r="D20">
        <v>600510</v>
      </c>
      <c r="E20" t="s">
        <v>202</v>
      </c>
      <c r="F20" t="s">
        <v>171</v>
      </c>
      <c r="G20" t="s">
        <v>198</v>
      </c>
    </row>
    <row r="21" spans="1:7" x14ac:dyDescent="0.25">
      <c r="A21" t="s">
        <v>199</v>
      </c>
      <c r="B21">
        <v>60050</v>
      </c>
      <c r="D21">
        <v>600510</v>
      </c>
      <c r="E21" t="s">
        <v>202</v>
      </c>
      <c r="F21" t="s">
        <v>171</v>
      </c>
      <c r="G21" t="s">
        <v>200</v>
      </c>
    </row>
    <row r="22" spans="1:7" x14ac:dyDescent="0.25">
      <c r="A22" t="s">
        <v>203</v>
      </c>
      <c r="B22">
        <v>60100</v>
      </c>
      <c r="D22">
        <v>601000</v>
      </c>
      <c r="E22" t="s">
        <v>204</v>
      </c>
      <c r="F22" t="s">
        <v>171</v>
      </c>
      <c r="G22" t="s">
        <v>205</v>
      </c>
    </row>
    <row r="23" spans="1:7" x14ac:dyDescent="0.25">
      <c r="A23" t="s">
        <v>206</v>
      </c>
      <c r="B23">
        <v>60100</v>
      </c>
      <c r="D23">
        <v>601000</v>
      </c>
      <c r="E23" t="s">
        <v>204</v>
      </c>
      <c r="F23" t="s">
        <v>171</v>
      </c>
      <c r="G23" t="s">
        <v>207</v>
      </c>
    </row>
    <row r="24" spans="1:7" x14ac:dyDescent="0.25">
      <c r="A24" t="s">
        <v>208</v>
      </c>
      <c r="B24">
        <v>60120</v>
      </c>
      <c r="D24">
        <v>601200</v>
      </c>
      <c r="E24" t="s">
        <v>209</v>
      </c>
      <c r="F24" t="s">
        <v>171</v>
      </c>
      <c r="G24" t="s">
        <v>210</v>
      </c>
    </row>
    <row r="25" spans="1:7" x14ac:dyDescent="0.25">
      <c r="A25" t="s">
        <v>211</v>
      </c>
      <c r="B25">
        <v>60120</v>
      </c>
      <c r="D25">
        <v>601200</v>
      </c>
      <c r="E25" t="s">
        <v>209</v>
      </c>
      <c r="F25" t="s">
        <v>171</v>
      </c>
      <c r="G25" t="s">
        <v>212</v>
      </c>
    </row>
    <row r="26" spans="1:7" x14ac:dyDescent="0.25">
      <c r="A26" t="s">
        <v>51</v>
      </c>
      <c r="B26">
        <v>60200</v>
      </c>
      <c r="D26">
        <v>602000</v>
      </c>
      <c r="E26" t="s">
        <v>213</v>
      </c>
      <c r="F26" t="s">
        <v>171</v>
      </c>
      <c r="G26" t="s">
        <v>214</v>
      </c>
    </row>
    <row r="27" spans="1:7" x14ac:dyDescent="0.25">
      <c r="A27" t="s">
        <v>127</v>
      </c>
      <c r="B27">
        <v>60200</v>
      </c>
      <c r="D27">
        <v>602000</v>
      </c>
      <c r="E27" t="s">
        <v>213</v>
      </c>
      <c r="F27" t="s">
        <v>171</v>
      </c>
      <c r="G27" t="s">
        <v>215</v>
      </c>
    </row>
    <row r="28" spans="1:7" x14ac:dyDescent="0.25">
      <c r="A28" t="s">
        <v>53</v>
      </c>
      <c r="B28">
        <v>60300</v>
      </c>
      <c r="D28">
        <v>603000</v>
      </c>
      <c r="E28" t="s">
        <v>216</v>
      </c>
      <c r="F28" t="s">
        <v>217</v>
      </c>
      <c r="G28" t="s">
        <v>218</v>
      </c>
    </row>
    <row r="29" spans="1:7" x14ac:dyDescent="0.25">
      <c r="A29" t="s">
        <v>219</v>
      </c>
      <c r="B29">
        <v>60300</v>
      </c>
      <c r="D29">
        <v>603000</v>
      </c>
      <c r="E29" t="s">
        <v>216</v>
      </c>
      <c r="F29" t="s">
        <v>217</v>
      </c>
      <c r="G29" t="s">
        <v>220</v>
      </c>
    </row>
    <row r="30" spans="1:7" x14ac:dyDescent="0.25">
      <c r="A30" t="s">
        <v>55</v>
      </c>
      <c r="B30">
        <v>60350</v>
      </c>
      <c r="D30">
        <v>603500</v>
      </c>
      <c r="E30" t="s">
        <v>221</v>
      </c>
      <c r="F30" t="s">
        <v>217</v>
      </c>
      <c r="G30" t="s">
        <v>222</v>
      </c>
    </row>
    <row r="31" spans="1:7" x14ac:dyDescent="0.25">
      <c r="A31" t="s">
        <v>131</v>
      </c>
      <c r="B31">
        <v>60350</v>
      </c>
      <c r="D31">
        <v>603500</v>
      </c>
      <c r="E31" t="s">
        <v>221</v>
      </c>
      <c r="F31" t="s">
        <v>217</v>
      </c>
      <c r="G31" t="s">
        <v>223</v>
      </c>
    </row>
    <row r="32" spans="1:7" x14ac:dyDescent="0.25">
      <c r="A32" t="s">
        <v>55</v>
      </c>
      <c r="B32">
        <v>60350</v>
      </c>
      <c r="D32">
        <v>603501</v>
      </c>
      <c r="E32" t="s">
        <v>224</v>
      </c>
      <c r="F32" t="s">
        <v>217</v>
      </c>
      <c r="G32" t="s">
        <v>222</v>
      </c>
    </row>
    <row r="33" spans="1:7" x14ac:dyDescent="0.25">
      <c r="A33" t="s">
        <v>131</v>
      </c>
      <c r="B33">
        <v>60350</v>
      </c>
      <c r="D33">
        <v>603501</v>
      </c>
      <c r="E33" t="s">
        <v>224</v>
      </c>
      <c r="F33" t="s">
        <v>217</v>
      </c>
      <c r="G33" t="s">
        <v>223</v>
      </c>
    </row>
    <row r="34" spans="1:7" x14ac:dyDescent="0.25">
      <c r="A34" t="s">
        <v>225</v>
      </c>
      <c r="B34">
        <v>60360</v>
      </c>
      <c r="D34">
        <v>603600</v>
      </c>
      <c r="E34" t="s">
        <v>226</v>
      </c>
      <c r="F34" t="s">
        <v>217</v>
      </c>
      <c r="G34" t="s">
        <v>227</v>
      </c>
    </row>
    <row r="35" spans="1:7" x14ac:dyDescent="0.25">
      <c r="A35" t="s">
        <v>228</v>
      </c>
      <c r="B35">
        <v>60360</v>
      </c>
      <c r="D35">
        <v>603600</v>
      </c>
      <c r="E35" t="s">
        <v>226</v>
      </c>
      <c r="F35" t="s">
        <v>217</v>
      </c>
      <c r="G35" t="s">
        <v>229</v>
      </c>
    </row>
    <row r="36" spans="1:7" x14ac:dyDescent="0.25">
      <c r="A36" t="s">
        <v>230</v>
      </c>
      <c r="B36">
        <v>60380</v>
      </c>
      <c r="D36">
        <v>603800</v>
      </c>
      <c r="E36" t="s">
        <v>231</v>
      </c>
      <c r="F36" t="s">
        <v>217</v>
      </c>
      <c r="G36" t="s">
        <v>232</v>
      </c>
    </row>
    <row r="37" spans="1:7" x14ac:dyDescent="0.25">
      <c r="A37" t="s">
        <v>233</v>
      </c>
      <c r="B37">
        <v>60380</v>
      </c>
      <c r="D37">
        <v>603800</v>
      </c>
      <c r="E37" t="s">
        <v>231</v>
      </c>
      <c r="F37" t="s">
        <v>217</v>
      </c>
      <c r="G37" t="s">
        <v>234</v>
      </c>
    </row>
    <row r="38" spans="1:7" x14ac:dyDescent="0.25">
      <c r="A38" t="s">
        <v>57</v>
      </c>
      <c r="B38">
        <v>60390</v>
      </c>
      <c r="D38">
        <v>603900</v>
      </c>
      <c r="E38" t="s">
        <v>235</v>
      </c>
      <c r="F38" t="s">
        <v>217</v>
      </c>
      <c r="G38" t="s">
        <v>236</v>
      </c>
    </row>
    <row r="39" spans="1:7" x14ac:dyDescent="0.25">
      <c r="A39" t="s">
        <v>237</v>
      </c>
      <c r="B39">
        <v>60390</v>
      </c>
      <c r="D39">
        <v>603900</v>
      </c>
      <c r="E39" t="s">
        <v>235</v>
      </c>
      <c r="F39" t="s">
        <v>217</v>
      </c>
      <c r="G39" t="s">
        <v>238</v>
      </c>
    </row>
    <row r="40" spans="1:7" x14ac:dyDescent="0.25">
      <c r="A40" t="s">
        <v>57</v>
      </c>
      <c r="B40">
        <v>60391</v>
      </c>
      <c r="D40">
        <v>603910</v>
      </c>
      <c r="E40" t="s">
        <v>239</v>
      </c>
      <c r="F40" t="s">
        <v>217</v>
      </c>
      <c r="G40" t="s">
        <v>236</v>
      </c>
    </row>
    <row r="41" spans="1:7" x14ac:dyDescent="0.25">
      <c r="A41" t="s">
        <v>237</v>
      </c>
      <c r="B41">
        <v>60391</v>
      </c>
      <c r="D41">
        <v>603910</v>
      </c>
      <c r="E41" t="s">
        <v>239</v>
      </c>
      <c r="F41" t="s">
        <v>217</v>
      </c>
      <c r="G41" t="s">
        <v>238</v>
      </c>
    </row>
    <row r="42" spans="1:7" x14ac:dyDescent="0.25">
      <c r="A42" t="s">
        <v>240</v>
      </c>
      <c r="B42">
        <v>60400</v>
      </c>
      <c r="D42">
        <v>604000</v>
      </c>
      <c r="E42" t="s">
        <v>241</v>
      </c>
      <c r="F42" t="s">
        <v>242</v>
      </c>
      <c r="G42" t="s">
        <v>243</v>
      </c>
    </row>
    <row r="43" spans="1:7" x14ac:dyDescent="0.25">
      <c r="A43" t="s">
        <v>244</v>
      </c>
      <c r="B43">
        <v>60400</v>
      </c>
      <c r="D43">
        <v>604000</v>
      </c>
      <c r="E43" t="s">
        <v>241</v>
      </c>
      <c r="F43" t="s">
        <v>242</v>
      </c>
      <c r="G43" t="s">
        <v>245</v>
      </c>
    </row>
    <row r="44" spans="1:7" x14ac:dyDescent="0.25">
      <c r="A44" t="s">
        <v>135</v>
      </c>
      <c r="B44">
        <v>60500</v>
      </c>
      <c r="D44">
        <v>605000</v>
      </c>
      <c r="E44" t="s">
        <v>246</v>
      </c>
      <c r="F44" t="s">
        <v>217</v>
      </c>
      <c r="G44" t="s">
        <v>247</v>
      </c>
    </row>
    <row r="45" spans="1:7" x14ac:dyDescent="0.25">
      <c r="A45" t="s">
        <v>248</v>
      </c>
      <c r="B45">
        <v>60500</v>
      </c>
      <c r="D45">
        <v>605000</v>
      </c>
      <c r="E45" t="s">
        <v>246</v>
      </c>
      <c r="F45" t="s">
        <v>217</v>
      </c>
      <c r="G45" t="s">
        <v>249</v>
      </c>
    </row>
    <row r="46" spans="1:7" x14ac:dyDescent="0.25">
      <c r="A46" t="s">
        <v>135</v>
      </c>
      <c r="B46">
        <v>60500</v>
      </c>
      <c r="D46">
        <v>605001</v>
      </c>
      <c r="E46" t="s">
        <v>250</v>
      </c>
      <c r="F46" t="s">
        <v>217</v>
      </c>
      <c r="G46" t="s">
        <v>247</v>
      </c>
    </row>
    <row r="47" spans="1:7" x14ac:dyDescent="0.25">
      <c r="A47" t="s">
        <v>248</v>
      </c>
      <c r="B47">
        <v>60500</v>
      </c>
      <c r="D47">
        <v>605001</v>
      </c>
      <c r="E47" t="s">
        <v>250</v>
      </c>
      <c r="F47" t="s">
        <v>217</v>
      </c>
      <c r="G47" t="s">
        <v>249</v>
      </c>
    </row>
    <row r="48" spans="1:7" x14ac:dyDescent="0.25">
      <c r="A48" t="s">
        <v>251</v>
      </c>
      <c r="B48">
        <v>60635</v>
      </c>
      <c r="D48">
        <v>606350</v>
      </c>
      <c r="E48" t="s">
        <v>252</v>
      </c>
      <c r="F48" t="s">
        <v>217</v>
      </c>
      <c r="G48" t="s">
        <v>253</v>
      </c>
    </row>
    <row r="49" spans="1:7" x14ac:dyDescent="0.25">
      <c r="A49" t="s">
        <v>254</v>
      </c>
      <c r="B49">
        <v>60635</v>
      </c>
      <c r="D49">
        <v>606350</v>
      </c>
      <c r="E49" t="s">
        <v>252</v>
      </c>
      <c r="F49" t="s">
        <v>217</v>
      </c>
      <c r="G49" t="s">
        <v>255</v>
      </c>
    </row>
    <row r="50" spans="1:7" x14ac:dyDescent="0.25">
      <c r="A50" t="s">
        <v>256</v>
      </c>
      <c r="B50">
        <v>60640</v>
      </c>
      <c r="D50">
        <v>606400</v>
      </c>
      <c r="E50" t="s">
        <v>257</v>
      </c>
      <c r="F50" t="s">
        <v>171</v>
      </c>
      <c r="G50" t="s">
        <v>258</v>
      </c>
    </row>
    <row r="51" spans="1:7" x14ac:dyDescent="0.25">
      <c r="A51" t="s">
        <v>259</v>
      </c>
      <c r="B51">
        <v>60640</v>
      </c>
      <c r="D51">
        <v>606400</v>
      </c>
      <c r="E51" t="s">
        <v>257</v>
      </c>
      <c r="F51" t="s">
        <v>171</v>
      </c>
      <c r="G51" t="s">
        <v>260</v>
      </c>
    </row>
    <row r="52" spans="1:7" x14ac:dyDescent="0.25">
      <c r="A52" t="s">
        <v>59</v>
      </c>
      <c r="B52">
        <v>60650</v>
      </c>
      <c r="D52">
        <v>606500</v>
      </c>
      <c r="E52" t="s">
        <v>261</v>
      </c>
      <c r="F52" t="s">
        <v>217</v>
      </c>
      <c r="G52" t="s">
        <v>262</v>
      </c>
    </row>
    <row r="53" spans="1:7" x14ac:dyDescent="0.25">
      <c r="A53" t="s">
        <v>263</v>
      </c>
      <c r="B53">
        <v>60650</v>
      </c>
      <c r="D53">
        <v>606500</v>
      </c>
      <c r="E53" t="s">
        <v>261</v>
      </c>
      <c r="F53" t="s">
        <v>217</v>
      </c>
      <c r="G53" t="s">
        <v>264</v>
      </c>
    </row>
    <row r="54" spans="1:7" x14ac:dyDescent="0.25">
      <c r="A54" t="s">
        <v>59</v>
      </c>
      <c r="B54">
        <v>60650</v>
      </c>
      <c r="D54">
        <v>606510</v>
      </c>
      <c r="E54" t="s">
        <v>265</v>
      </c>
      <c r="F54" t="s">
        <v>217</v>
      </c>
      <c r="G54" t="s">
        <v>262</v>
      </c>
    </row>
    <row r="55" spans="1:7" x14ac:dyDescent="0.25">
      <c r="A55" t="s">
        <v>263</v>
      </c>
      <c r="B55">
        <v>60650</v>
      </c>
      <c r="D55">
        <v>606510</v>
      </c>
      <c r="E55" t="s">
        <v>265</v>
      </c>
      <c r="F55" t="s">
        <v>217</v>
      </c>
      <c r="G55" t="s">
        <v>264</v>
      </c>
    </row>
    <row r="56" spans="1:7" x14ac:dyDescent="0.25">
      <c r="A56" t="s">
        <v>266</v>
      </c>
      <c r="B56">
        <v>60655</v>
      </c>
      <c r="D56">
        <v>606550</v>
      </c>
      <c r="E56" t="s">
        <v>267</v>
      </c>
      <c r="F56" t="s">
        <v>217</v>
      </c>
      <c r="G56" t="s">
        <v>268</v>
      </c>
    </row>
    <row r="57" spans="1:7" x14ac:dyDescent="0.25">
      <c r="A57" t="s">
        <v>269</v>
      </c>
      <c r="B57">
        <v>60655</v>
      </c>
      <c r="D57">
        <v>606550</v>
      </c>
      <c r="E57" t="s">
        <v>267</v>
      </c>
      <c r="F57" t="s">
        <v>217</v>
      </c>
      <c r="G57" t="s">
        <v>270</v>
      </c>
    </row>
    <row r="58" spans="1:7" x14ac:dyDescent="0.25">
      <c r="A58" t="s">
        <v>271</v>
      </c>
      <c r="B58">
        <v>60660</v>
      </c>
      <c r="D58">
        <v>606600</v>
      </c>
      <c r="E58" t="s">
        <v>272</v>
      </c>
      <c r="F58" t="s">
        <v>171</v>
      </c>
      <c r="G58" t="s">
        <v>273</v>
      </c>
    </row>
    <row r="59" spans="1:7" x14ac:dyDescent="0.25">
      <c r="A59" t="s">
        <v>274</v>
      </c>
      <c r="B59">
        <v>60660</v>
      </c>
      <c r="D59">
        <v>606600</v>
      </c>
      <c r="E59" t="s">
        <v>272</v>
      </c>
      <c r="F59" t="s">
        <v>171</v>
      </c>
      <c r="G59" t="s">
        <v>275</v>
      </c>
    </row>
    <row r="60" spans="1:7" x14ac:dyDescent="0.25">
      <c r="A60" t="s">
        <v>271</v>
      </c>
      <c r="B60">
        <v>60661</v>
      </c>
      <c r="D60">
        <v>606610</v>
      </c>
      <c r="E60" t="s">
        <v>276</v>
      </c>
      <c r="F60" t="s">
        <v>171</v>
      </c>
      <c r="G60" t="s">
        <v>273</v>
      </c>
    </row>
    <row r="61" spans="1:7" x14ac:dyDescent="0.25">
      <c r="A61" t="s">
        <v>274</v>
      </c>
      <c r="B61">
        <v>60661</v>
      </c>
      <c r="D61">
        <v>606610</v>
      </c>
      <c r="E61" t="s">
        <v>276</v>
      </c>
      <c r="F61" t="s">
        <v>171</v>
      </c>
      <c r="G61" t="s">
        <v>275</v>
      </c>
    </row>
    <row r="62" spans="1:7" x14ac:dyDescent="0.25">
      <c r="A62" t="s">
        <v>277</v>
      </c>
      <c r="B62">
        <v>60665</v>
      </c>
      <c r="D62">
        <v>606650</v>
      </c>
      <c r="E62" t="s">
        <v>278</v>
      </c>
      <c r="F62" t="s">
        <v>171</v>
      </c>
      <c r="G62" t="s">
        <v>279</v>
      </c>
    </row>
    <row r="63" spans="1:7" x14ac:dyDescent="0.25">
      <c r="A63" t="s">
        <v>280</v>
      </c>
      <c r="B63">
        <v>60665</v>
      </c>
      <c r="D63">
        <v>606650</v>
      </c>
      <c r="E63" t="s">
        <v>278</v>
      </c>
      <c r="F63" t="s">
        <v>171</v>
      </c>
      <c r="G63" t="s">
        <v>281</v>
      </c>
    </row>
    <row r="64" spans="1:7" x14ac:dyDescent="0.25">
      <c r="A64" t="s">
        <v>277</v>
      </c>
      <c r="B64">
        <v>60665</v>
      </c>
      <c r="D64">
        <v>606651</v>
      </c>
      <c r="E64" t="s">
        <v>282</v>
      </c>
      <c r="F64" t="s">
        <v>171</v>
      </c>
      <c r="G64" t="s">
        <v>279</v>
      </c>
    </row>
    <row r="65" spans="1:7" x14ac:dyDescent="0.25">
      <c r="A65" t="s">
        <v>280</v>
      </c>
      <c r="B65">
        <v>60665</v>
      </c>
      <c r="D65">
        <v>606651</v>
      </c>
      <c r="E65" t="s">
        <v>282</v>
      </c>
      <c r="F65" t="s">
        <v>171</v>
      </c>
      <c r="G65" t="s">
        <v>281</v>
      </c>
    </row>
    <row r="66" spans="1:7" x14ac:dyDescent="0.25">
      <c r="A66" t="s">
        <v>283</v>
      </c>
      <c r="B66">
        <v>60670</v>
      </c>
      <c r="D66">
        <v>606700</v>
      </c>
      <c r="E66" t="s">
        <v>284</v>
      </c>
      <c r="F66" t="s">
        <v>190</v>
      </c>
      <c r="G66" t="s">
        <v>285</v>
      </c>
    </row>
    <row r="67" spans="1:7" x14ac:dyDescent="0.25">
      <c r="A67" t="s">
        <v>286</v>
      </c>
      <c r="B67">
        <v>60670</v>
      </c>
      <c r="D67">
        <v>606700</v>
      </c>
      <c r="E67" t="s">
        <v>284</v>
      </c>
      <c r="F67" t="s">
        <v>190</v>
      </c>
      <c r="G67" t="s">
        <v>287</v>
      </c>
    </row>
    <row r="68" spans="1:7" x14ac:dyDescent="0.25">
      <c r="A68" t="s">
        <v>288</v>
      </c>
      <c r="B68">
        <v>60675</v>
      </c>
      <c r="D68">
        <v>606750</v>
      </c>
      <c r="E68" t="s">
        <v>289</v>
      </c>
      <c r="F68" t="s">
        <v>190</v>
      </c>
      <c r="G68" t="s">
        <v>290</v>
      </c>
    </row>
    <row r="69" spans="1:7" x14ac:dyDescent="0.25">
      <c r="A69" t="s">
        <v>291</v>
      </c>
      <c r="B69">
        <v>60675</v>
      </c>
      <c r="D69">
        <v>606750</v>
      </c>
      <c r="E69" t="s">
        <v>289</v>
      </c>
      <c r="F69" t="s">
        <v>190</v>
      </c>
      <c r="G69" t="s">
        <v>292</v>
      </c>
    </row>
    <row r="70" spans="1:7" x14ac:dyDescent="0.25">
      <c r="A70" t="s">
        <v>61</v>
      </c>
      <c r="B70">
        <v>62000</v>
      </c>
      <c r="C70" t="s">
        <v>293</v>
      </c>
      <c r="D70">
        <v>620000</v>
      </c>
      <c r="E70" t="s">
        <v>294</v>
      </c>
      <c r="F70" t="s">
        <v>295</v>
      </c>
      <c r="G70" t="s">
        <v>296</v>
      </c>
    </row>
    <row r="71" spans="1:7" x14ac:dyDescent="0.25">
      <c r="A71" t="s">
        <v>297</v>
      </c>
      <c r="B71">
        <v>62000</v>
      </c>
      <c r="C71" t="s">
        <v>293</v>
      </c>
      <c r="D71">
        <v>620000</v>
      </c>
      <c r="E71" t="s">
        <v>294</v>
      </c>
      <c r="F71" t="s">
        <v>295</v>
      </c>
      <c r="G71" t="s">
        <v>298</v>
      </c>
    </row>
    <row r="72" spans="1:7" x14ac:dyDescent="0.25">
      <c r="A72" t="s">
        <v>61</v>
      </c>
      <c r="B72">
        <v>62000</v>
      </c>
      <c r="C72" t="s">
        <v>29</v>
      </c>
      <c r="D72">
        <v>620001</v>
      </c>
      <c r="E72" t="s">
        <v>294</v>
      </c>
      <c r="F72" t="s">
        <v>295</v>
      </c>
      <c r="G72" t="s">
        <v>296</v>
      </c>
    </row>
    <row r="73" spans="1:7" x14ac:dyDescent="0.25">
      <c r="A73" t="s">
        <v>297</v>
      </c>
      <c r="B73">
        <v>62000</v>
      </c>
      <c r="C73" t="s">
        <v>29</v>
      </c>
      <c r="D73">
        <v>620001</v>
      </c>
      <c r="E73" t="s">
        <v>294</v>
      </c>
      <c r="F73" t="s">
        <v>295</v>
      </c>
      <c r="G73" t="s">
        <v>298</v>
      </c>
    </row>
    <row r="74" spans="1:7" x14ac:dyDescent="0.25">
      <c r="A74" t="s">
        <v>61</v>
      </c>
      <c r="B74">
        <v>62000</v>
      </c>
      <c r="C74" t="s">
        <v>299</v>
      </c>
      <c r="D74">
        <v>620002</v>
      </c>
      <c r="E74" t="s">
        <v>300</v>
      </c>
      <c r="F74" t="s">
        <v>295</v>
      </c>
      <c r="G74" t="s">
        <v>296</v>
      </c>
    </row>
    <row r="75" spans="1:7" x14ac:dyDescent="0.25">
      <c r="A75" t="s">
        <v>297</v>
      </c>
      <c r="B75">
        <v>62000</v>
      </c>
      <c r="C75" t="s">
        <v>299</v>
      </c>
      <c r="D75">
        <v>620002</v>
      </c>
      <c r="E75" t="s">
        <v>300</v>
      </c>
      <c r="F75" t="s">
        <v>295</v>
      </c>
      <c r="G75" t="s">
        <v>298</v>
      </c>
    </row>
    <row r="76" spans="1:7" x14ac:dyDescent="0.25">
      <c r="A76" t="s">
        <v>61</v>
      </c>
      <c r="B76">
        <v>62000</v>
      </c>
      <c r="C76" t="s">
        <v>301</v>
      </c>
      <c r="D76">
        <v>620003</v>
      </c>
      <c r="E76" t="s">
        <v>300</v>
      </c>
      <c r="F76" t="s">
        <v>295</v>
      </c>
      <c r="G76" t="s">
        <v>296</v>
      </c>
    </row>
    <row r="77" spans="1:7" x14ac:dyDescent="0.25">
      <c r="A77" t="s">
        <v>297</v>
      </c>
      <c r="B77">
        <v>62000</v>
      </c>
      <c r="C77" t="s">
        <v>301</v>
      </c>
      <c r="D77">
        <v>620003</v>
      </c>
      <c r="E77" t="s">
        <v>300</v>
      </c>
      <c r="F77" t="s">
        <v>295</v>
      </c>
      <c r="G77" t="s">
        <v>298</v>
      </c>
    </row>
    <row r="78" spans="1:7" x14ac:dyDescent="0.25">
      <c r="A78" t="s">
        <v>61</v>
      </c>
      <c r="B78">
        <v>62000</v>
      </c>
      <c r="C78" t="s">
        <v>302</v>
      </c>
      <c r="D78">
        <v>620020</v>
      </c>
      <c r="E78" t="s">
        <v>294</v>
      </c>
      <c r="F78" t="s">
        <v>295</v>
      </c>
      <c r="G78" t="s">
        <v>296</v>
      </c>
    </row>
    <row r="79" spans="1:7" x14ac:dyDescent="0.25">
      <c r="A79" t="s">
        <v>297</v>
      </c>
      <c r="B79">
        <v>62000</v>
      </c>
      <c r="C79" t="s">
        <v>302</v>
      </c>
      <c r="D79">
        <v>620020</v>
      </c>
      <c r="E79" t="s">
        <v>294</v>
      </c>
      <c r="F79" t="s">
        <v>295</v>
      </c>
      <c r="G79" t="s">
        <v>298</v>
      </c>
    </row>
    <row r="80" spans="1:7" x14ac:dyDescent="0.25">
      <c r="A80" t="s">
        <v>61</v>
      </c>
      <c r="B80">
        <v>62000</v>
      </c>
      <c r="C80" t="s">
        <v>303</v>
      </c>
      <c r="D80">
        <v>620030</v>
      </c>
      <c r="E80" t="s">
        <v>294</v>
      </c>
      <c r="F80" t="s">
        <v>295</v>
      </c>
      <c r="G80" t="s">
        <v>296</v>
      </c>
    </row>
    <row r="81" spans="1:7" x14ac:dyDescent="0.25">
      <c r="A81" t="s">
        <v>297</v>
      </c>
      <c r="B81">
        <v>62000</v>
      </c>
      <c r="C81" t="s">
        <v>303</v>
      </c>
      <c r="D81">
        <v>620030</v>
      </c>
      <c r="E81" t="s">
        <v>294</v>
      </c>
      <c r="F81" t="s">
        <v>295</v>
      </c>
      <c r="G81" t="s">
        <v>298</v>
      </c>
    </row>
    <row r="82" spans="1:7" x14ac:dyDescent="0.25">
      <c r="A82" t="s">
        <v>61</v>
      </c>
      <c r="B82">
        <v>62000</v>
      </c>
      <c r="C82" t="s">
        <v>304</v>
      </c>
      <c r="D82">
        <v>620040</v>
      </c>
      <c r="E82" t="s">
        <v>294</v>
      </c>
      <c r="F82" t="s">
        <v>295</v>
      </c>
      <c r="G82" t="s">
        <v>296</v>
      </c>
    </row>
    <row r="83" spans="1:7" x14ac:dyDescent="0.25">
      <c r="A83" t="s">
        <v>297</v>
      </c>
      <c r="B83">
        <v>62000</v>
      </c>
      <c r="C83" t="s">
        <v>304</v>
      </c>
      <c r="D83">
        <v>620040</v>
      </c>
      <c r="E83" t="s">
        <v>294</v>
      </c>
      <c r="F83" t="s">
        <v>295</v>
      </c>
      <c r="G83" t="s">
        <v>298</v>
      </c>
    </row>
    <row r="84" spans="1:7" x14ac:dyDescent="0.25">
      <c r="A84" t="s">
        <v>61</v>
      </c>
      <c r="B84">
        <v>62000</v>
      </c>
      <c r="C84" t="s">
        <v>305</v>
      </c>
      <c r="D84">
        <v>620050</v>
      </c>
      <c r="E84" t="s">
        <v>294</v>
      </c>
      <c r="F84" t="s">
        <v>295</v>
      </c>
      <c r="G84" t="s">
        <v>296</v>
      </c>
    </row>
    <row r="85" spans="1:7" x14ac:dyDescent="0.25">
      <c r="A85" t="s">
        <v>297</v>
      </c>
      <c r="B85">
        <v>62000</v>
      </c>
      <c r="C85" t="s">
        <v>305</v>
      </c>
      <c r="D85">
        <v>620050</v>
      </c>
      <c r="E85" t="s">
        <v>294</v>
      </c>
      <c r="F85" t="s">
        <v>295</v>
      </c>
      <c r="G85" t="s">
        <v>298</v>
      </c>
    </row>
    <row r="86" spans="1:7" x14ac:dyDescent="0.25">
      <c r="A86" t="s">
        <v>63</v>
      </c>
      <c r="B86">
        <v>62050</v>
      </c>
      <c r="C86" t="s">
        <v>29</v>
      </c>
      <c r="D86">
        <v>620500</v>
      </c>
      <c r="E86" t="s">
        <v>306</v>
      </c>
      <c r="F86" t="s">
        <v>307</v>
      </c>
      <c r="G86" t="s">
        <v>308</v>
      </c>
    </row>
    <row r="87" spans="1:7" x14ac:dyDescent="0.25">
      <c r="A87" t="s">
        <v>309</v>
      </c>
      <c r="B87">
        <v>62050</v>
      </c>
      <c r="C87" t="s">
        <v>29</v>
      </c>
      <c r="D87">
        <v>620500</v>
      </c>
      <c r="E87" t="s">
        <v>306</v>
      </c>
      <c r="F87" t="s">
        <v>307</v>
      </c>
      <c r="G87" t="s">
        <v>310</v>
      </c>
    </row>
    <row r="88" spans="1:7" x14ac:dyDescent="0.25">
      <c r="A88" t="s">
        <v>63</v>
      </c>
      <c r="B88">
        <v>62050</v>
      </c>
      <c r="C88" t="s">
        <v>293</v>
      </c>
      <c r="D88">
        <v>620501</v>
      </c>
      <c r="E88" t="s">
        <v>306</v>
      </c>
      <c r="F88" t="s">
        <v>307</v>
      </c>
      <c r="G88" t="s">
        <v>308</v>
      </c>
    </row>
    <row r="89" spans="1:7" x14ac:dyDescent="0.25">
      <c r="A89" t="s">
        <v>309</v>
      </c>
      <c r="B89">
        <v>62050</v>
      </c>
      <c r="C89" t="s">
        <v>293</v>
      </c>
      <c r="D89">
        <v>620501</v>
      </c>
      <c r="E89" t="s">
        <v>306</v>
      </c>
      <c r="F89" t="s">
        <v>307</v>
      </c>
      <c r="G89" t="s">
        <v>310</v>
      </c>
    </row>
    <row r="90" spans="1:7" x14ac:dyDescent="0.25">
      <c r="A90" t="s">
        <v>63</v>
      </c>
      <c r="B90">
        <v>62050</v>
      </c>
      <c r="C90" t="s">
        <v>302</v>
      </c>
      <c r="D90">
        <v>620520</v>
      </c>
      <c r="E90" t="s">
        <v>306</v>
      </c>
      <c r="F90" t="s">
        <v>307</v>
      </c>
      <c r="G90" t="s">
        <v>308</v>
      </c>
    </row>
    <row r="91" spans="1:7" x14ac:dyDescent="0.25">
      <c r="A91" t="s">
        <v>309</v>
      </c>
      <c r="B91">
        <v>62050</v>
      </c>
      <c r="C91" t="s">
        <v>302</v>
      </c>
      <c r="D91">
        <v>620520</v>
      </c>
      <c r="E91" t="s">
        <v>306</v>
      </c>
      <c r="F91" t="s">
        <v>307</v>
      </c>
      <c r="G91" t="s">
        <v>310</v>
      </c>
    </row>
    <row r="92" spans="1:7" x14ac:dyDescent="0.25">
      <c r="A92" t="s">
        <v>63</v>
      </c>
      <c r="B92">
        <v>62050</v>
      </c>
      <c r="C92" t="s">
        <v>311</v>
      </c>
      <c r="D92">
        <v>620530</v>
      </c>
      <c r="E92" t="s">
        <v>306</v>
      </c>
      <c r="F92" t="s">
        <v>307</v>
      </c>
      <c r="G92" t="s">
        <v>308</v>
      </c>
    </row>
    <row r="93" spans="1:7" x14ac:dyDescent="0.25">
      <c r="A93" t="s">
        <v>309</v>
      </c>
      <c r="B93">
        <v>62050</v>
      </c>
      <c r="C93" t="s">
        <v>311</v>
      </c>
      <c r="D93">
        <v>620530</v>
      </c>
      <c r="E93" t="s">
        <v>306</v>
      </c>
      <c r="F93" t="s">
        <v>307</v>
      </c>
      <c r="G93" t="s">
        <v>310</v>
      </c>
    </row>
    <row r="94" spans="1:7" x14ac:dyDescent="0.25">
      <c r="A94" t="s">
        <v>63</v>
      </c>
      <c r="B94">
        <v>62050</v>
      </c>
      <c r="C94" t="s">
        <v>312</v>
      </c>
      <c r="D94">
        <v>620540</v>
      </c>
      <c r="E94" t="s">
        <v>306</v>
      </c>
      <c r="F94" t="s">
        <v>307</v>
      </c>
      <c r="G94" t="s">
        <v>308</v>
      </c>
    </row>
    <row r="95" spans="1:7" x14ac:dyDescent="0.25">
      <c r="A95" t="s">
        <v>309</v>
      </c>
      <c r="B95">
        <v>62050</v>
      </c>
      <c r="C95" t="s">
        <v>312</v>
      </c>
      <c r="D95">
        <v>620540</v>
      </c>
      <c r="E95" t="s">
        <v>306</v>
      </c>
      <c r="F95" t="s">
        <v>307</v>
      </c>
      <c r="G95" t="s">
        <v>310</v>
      </c>
    </row>
    <row r="96" spans="1:7" x14ac:dyDescent="0.25">
      <c r="A96" t="s">
        <v>63</v>
      </c>
      <c r="B96">
        <v>62050</v>
      </c>
      <c r="C96" t="s">
        <v>313</v>
      </c>
      <c r="D96">
        <v>620550</v>
      </c>
      <c r="E96" t="s">
        <v>306</v>
      </c>
      <c r="F96" t="s">
        <v>307</v>
      </c>
      <c r="G96" t="s">
        <v>308</v>
      </c>
    </row>
    <row r="97" spans="1:7" x14ac:dyDescent="0.25">
      <c r="A97" t="s">
        <v>309</v>
      </c>
      <c r="B97">
        <v>62050</v>
      </c>
      <c r="C97" t="s">
        <v>313</v>
      </c>
      <c r="D97">
        <v>620550</v>
      </c>
      <c r="E97" t="s">
        <v>306</v>
      </c>
      <c r="F97" t="s">
        <v>307</v>
      </c>
      <c r="G97" t="s">
        <v>310</v>
      </c>
    </row>
    <row r="98" spans="1:7" x14ac:dyDescent="0.25">
      <c r="A98" t="s">
        <v>314</v>
      </c>
      <c r="B98">
        <v>62060</v>
      </c>
      <c r="C98" t="s">
        <v>29</v>
      </c>
      <c r="D98">
        <v>620600</v>
      </c>
      <c r="E98" t="s">
        <v>315</v>
      </c>
      <c r="F98" t="s">
        <v>307</v>
      </c>
      <c r="G98" t="s">
        <v>316</v>
      </c>
    </row>
    <row r="99" spans="1:7" x14ac:dyDescent="0.25">
      <c r="A99" t="s">
        <v>317</v>
      </c>
      <c r="B99">
        <v>62060</v>
      </c>
      <c r="C99" t="s">
        <v>29</v>
      </c>
      <c r="D99">
        <v>620600</v>
      </c>
      <c r="E99" t="s">
        <v>315</v>
      </c>
      <c r="F99" t="s">
        <v>307</v>
      </c>
      <c r="G99" t="s">
        <v>318</v>
      </c>
    </row>
    <row r="100" spans="1:7" x14ac:dyDescent="0.25">
      <c r="A100" t="s">
        <v>314</v>
      </c>
      <c r="B100">
        <v>62060</v>
      </c>
      <c r="C100" t="s">
        <v>293</v>
      </c>
      <c r="D100">
        <v>620601</v>
      </c>
      <c r="E100" t="s">
        <v>315</v>
      </c>
      <c r="F100" t="s">
        <v>307</v>
      </c>
      <c r="G100" t="s">
        <v>316</v>
      </c>
    </row>
    <row r="101" spans="1:7" x14ac:dyDescent="0.25">
      <c r="A101" t="s">
        <v>317</v>
      </c>
      <c r="B101">
        <v>62060</v>
      </c>
      <c r="C101" t="s">
        <v>293</v>
      </c>
      <c r="D101">
        <v>620601</v>
      </c>
      <c r="E101" t="s">
        <v>315</v>
      </c>
      <c r="F101" t="s">
        <v>307</v>
      </c>
      <c r="G101" t="s">
        <v>318</v>
      </c>
    </row>
    <row r="102" spans="1:7" x14ac:dyDescent="0.25">
      <c r="A102" t="s">
        <v>314</v>
      </c>
      <c r="B102">
        <v>62060</v>
      </c>
      <c r="C102" t="s">
        <v>302</v>
      </c>
      <c r="D102">
        <v>620620</v>
      </c>
      <c r="E102" t="s">
        <v>315</v>
      </c>
      <c r="F102" t="s">
        <v>307</v>
      </c>
      <c r="G102" t="s">
        <v>316</v>
      </c>
    </row>
    <row r="103" spans="1:7" x14ac:dyDescent="0.25">
      <c r="A103" t="s">
        <v>317</v>
      </c>
      <c r="B103">
        <v>62060</v>
      </c>
      <c r="C103" t="s">
        <v>302</v>
      </c>
      <c r="D103">
        <v>620620</v>
      </c>
      <c r="E103" t="s">
        <v>315</v>
      </c>
      <c r="F103" t="s">
        <v>307</v>
      </c>
      <c r="G103" t="s">
        <v>318</v>
      </c>
    </row>
    <row r="104" spans="1:7" x14ac:dyDescent="0.25">
      <c r="A104" t="s">
        <v>314</v>
      </c>
      <c r="B104">
        <v>62060</v>
      </c>
      <c r="C104" t="s">
        <v>311</v>
      </c>
      <c r="D104">
        <v>620630</v>
      </c>
      <c r="E104" t="s">
        <v>315</v>
      </c>
      <c r="F104" t="s">
        <v>307</v>
      </c>
      <c r="G104" t="s">
        <v>316</v>
      </c>
    </row>
    <row r="105" spans="1:7" x14ac:dyDescent="0.25">
      <c r="A105" t="s">
        <v>317</v>
      </c>
      <c r="B105">
        <v>62060</v>
      </c>
      <c r="C105" t="s">
        <v>311</v>
      </c>
      <c r="D105">
        <v>620630</v>
      </c>
      <c r="E105" t="s">
        <v>315</v>
      </c>
      <c r="F105" t="s">
        <v>307</v>
      </c>
      <c r="G105" t="s">
        <v>318</v>
      </c>
    </row>
    <row r="106" spans="1:7" x14ac:dyDescent="0.25">
      <c r="A106" t="s">
        <v>314</v>
      </c>
      <c r="B106">
        <v>62060</v>
      </c>
      <c r="C106" t="s">
        <v>312</v>
      </c>
      <c r="D106">
        <v>620640</v>
      </c>
      <c r="E106" t="s">
        <v>315</v>
      </c>
      <c r="F106" t="s">
        <v>307</v>
      </c>
      <c r="G106" t="s">
        <v>316</v>
      </c>
    </row>
    <row r="107" spans="1:7" x14ac:dyDescent="0.25">
      <c r="A107" t="s">
        <v>317</v>
      </c>
      <c r="B107">
        <v>62060</v>
      </c>
      <c r="C107" t="s">
        <v>312</v>
      </c>
      <c r="D107">
        <v>620640</v>
      </c>
      <c r="E107" t="s">
        <v>315</v>
      </c>
      <c r="F107" t="s">
        <v>307</v>
      </c>
      <c r="G107" t="s">
        <v>318</v>
      </c>
    </row>
    <row r="108" spans="1:7" x14ac:dyDescent="0.25">
      <c r="A108" t="s">
        <v>314</v>
      </c>
      <c r="B108">
        <v>62060</v>
      </c>
      <c r="C108" t="s">
        <v>313</v>
      </c>
      <c r="D108">
        <v>620650</v>
      </c>
      <c r="E108" t="s">
        <v>315</v>
      </c>
      <c r="F108" t="s">
        <v>307</v>
      </c>
      <c r="G108" t="s">
        <v>316</v>
      </c>
    </row>
    <row r="109" spans="1:7" x14ac:dyDescent="0.25">
      <c r="A109" t="s">
        <v>317</v>
      </c>
      <c r="B109">
        <v>62060</v>
      </c>
      <c r="C109" t="s">
        <v>313</v>
      </c>
      <c r="D109">
        <v>620650</v>
      </c>
      <c r="E109" t="s">
        <v>315</v>
      </c>
      <c r="F109" t="s">
        <v>307</v>
      </c>
      <c r="G109" t="s">
        <v>318</v>
      </c>
    </row>
    <row r="110" spans="1:7" x14ac:dyDescent="0.25">
      <c r="A110" t="s">
        <v>65</v>
      </c>
      <c r="B110">
        <v>62110</v>
      </c>
      <c r="C110" t="s">
        <v>29</v>
      </c>
      <c r="D110">
        <v>621100</v>
      </c>
      <c r="E110" t="s">
        <v>319</v>
      </c>
      <c r="F110" t="s">
        <v>295</v>
      </c>
      <c r="G110" t="s">
        <v>320</v>
      </c>
    </row>
    <row r="111" spans="1:7" x14ac:dyDescent="0.25">
      <c r="A111" t="s">
        <v>321</v>
      </c>
      <c r="B111">
        <v>62110</v>
      </c>
      <c r="C111" t="s">
        <v>29</v>
      </c>
      <c r="D111">
        <v>621100</v>
      </c>
      <c r="E111" t="s">
        <v>319</v>
      </c>
      <c r="F111" t="s">
        <v>295</v>
      </c>
      <c r="G111" t="s">
        <v>322</v>
      </c>
    </row>
    <row r="112" spans="1:7" x14ac:dyDescent="0.25">
      <c r="A112" t="s">
        <v>65</v>
      </c>
      <c r="B112">
        <v>62110</v>
      </c>
      <c r="C112" t="s">
        <v>302</v>
      </c>
      <c r="D112">
        <v>621102</v>
      </c>
      <c r="E112" t="s">
        <v>319</v>
      </c>
      <c r="F112" t="s">
        <v>295</v>
      </c>
      <c r="G112" t="s">
        <v>320</v>
      </c>
    </row>
    <row r="113" spans="1:7" x14ac:dyDescent="0.25">
      <c r="A113" t="s">
        <v>321</v>
      </c>
      <c r="B113">
        <v>62110</v>
      </c>
      <c r="C113" t="s">
        <v>302</v>
      </c>
      <c r="D113">
        <v>621102</v>
      </c>
      <c r="E113" t="s">
        <v>319</v>
      </c>
      <c r="F113" t="s">
        <v>295</v>
      </c>
      <c r="G113" t="s">
        <v>322</v>
      </c>
    </row>
    <row r="114" spans="1:7" x14ac:dyDescent="0.25">
      <c r="A114" t="s">
        <v>65</v>
      </c>
      <c r="B114">
        <v>62110</v>
      </c>
      <c r="C114" t="s">
        <v>303</v>
      </c>
      <c r="D114">
        <v>621112</v>
      </c>
      <c r="E114" t="s">
        <v>319</v>
      </c>
      <c r="F114" t="s">
        <v>295</v>
      </c>
      <c r="G114" t="s">
        <v>320</v>
      </c>
    </row>
    <row r="115" spans="1:7" x14ac:dyDescent="0.25">
      <c r="A115" t="s">
        <v>321</v>
      </c>
      <c r="B115">
        <v>62110</v>
      </c>
      <c r="C115" t="s">
        <v>303</v>
      </c>
      <c r="D115">
        <v>621112</v>
      </c>
      <c r="E115" t="s">
        <v>319</v>
      </c>
      <c r="F115" t="s">
        <v>295</v>
      </c>
      <c r="G115" t="s">
        <v>322</v>
      </c>
    </row>
    <row r="116" spans="1:7" x14ac:dyDescent="0.25">
      <c r="A116" t="s">
        <v>65</v>
      </c>
      <c r="B116">
        <v>62110</v>
      </c>
      <c r="C116" t="s">
        <v>304</v>
      </c>
      <c r="D116">
        <v>621122</v>
      </c>
      <c r="E116" t="s">
        <v>319</v>
      </c>
      <c r="F116" t="s">
        <v>295</v>
      </c>
      <c r="G116" t="s">
        <v>320</v>
      </c>
    </row>
    <row r="117" spans="1:7" x14ac:dyDescent="0.25">
      <c r="A117" t="s">
        <v>321</v>
      </c>
      <c r="B117">
        <v>62110</v>
      </c>
      <c r="C117" t="s">
        <v>304</v>
      </c>
      <c r="D117">
        <v>621122</v>
      </c>
      <c r="E117" t="s">
        <v>319</v>
      </c>
      <c r="F117" t="s">
        <v>295</v>
      </c>
      <c r="G117" t="s">
        <v>322</v>
      </c>
    </row>
    <row r="118" spans="1:7" x14ac:dyDescent="0.25">
      <c r="A118" t="s">
        <v>65</v>
      </c>
      <c r="B118">
        <v>62110</v>
      </c>
      <c r="C118" t="s">
        <v>305</v>
      </c>
      <c r="D118">
        <v>621132</v>
      </c>
      <c r="E118" t="s">
        <v>319</v>
      </c>
      <c r="F118" t="s">
        <v>295</v>
      </c>
      <c r="G118" t="s">
        <v>320</v>
      </c>
    </row>
    <row r="119" spans="1:7" x14ac:dyDescent="0.25">
      <c r="A119" t="s">
        <v>321</v>
      </c>
      <c r="B119">
        <v>62110</v>
      </c>
      <c r="C119" t="s">
        <v>305</v>
      </c>
      <c r="D119">
        <v>621132</v>
      </c>
      <c r="E119" t="s">
        <v>319</v>
      </c>
      <c r="F119" t="s">
        <v>295</v>
      </c>
      <c r="G119" t="s">
        <v>322</v>
      </c>
    </row>
    <row r="120" spans="1:7" x14ac:dyDescent="0.25">
      <c r="A120" t="s">
        <v>323</v>
      </c>
      <c r="B120">
        <v>62115</v>
      </c>
      <c r="C120" t="s">
        <v>29</v>
      </c>
      <c r="D120">
        <v>621150</v>
      </c>
      <c r="E120" t="s">
        <v>324</v>
      </c>
      <c r="F120" t="s">
        <v>295</v>
      </c>
      <c r="G120" t="s">
        <v>325</v>
      </c>
    </row>
    <row r="121" spans="1:7" x14ac:dyDescent="0.25">
      <c r="A121" t="s">
        <v>326</v>
      </c>
      <c r="B121">
        <v>62115</v>
      </c>
      <c r="C121" t="s">
        <v>29</v>
      </c>
      <c r="D121">
        <v>621150</v>
      </c>
      <c r="E121" t="s">
        <v>324</v>
      </c>
      <c r="F121" t="s">
        <v>295</v>
      </c>
      <c r="G121" t="s">
        <v>327</v>
      </c>
    </row>
    <row r="122" spans="1:7" x14ac:dyDescent="0.25">
      <c r="A122" t="s">
        <v>323</v>
      </c>
      <c r="B122">
        <v>62115</v>
      </c>
      <c r="C122" t="s">
        <v>302</v>
      </c>
      <c r="D122">
        <v>621152</v>
      </c>
      <c r="E122" t="s">
        <v>324</v>
      </c>
      <c r="F122" t="s">
        <v>295</v>
      </c>
      <c r="G122" t="s">
        <v>325</v>
      </c>
    </row>
    <row r="123" spans="1:7" x14ac:dyDescent="0.25">
      <c r="A123" t="s">
        <v>326</v>
      </c>
      <c r="B123">
        <v>62115</v>
      </c>
      <c r="C123" t="s">
        <v>302</v>
      </c>
      <c r="D123">
        <v>621152</v>
      </c>
      <c r="E123" t="s">
        <v>324</v>
      </c>
      <c r="F123" t="s">
        <v>295</v>
      </c>
      <c r="G123" t="s">
        <v>327</v>
      </c>
    </row>
    <row r="124" spans="1:7" x14ac:dyDescent="0.25">
      <c r="A124" t="s">
        <v>323</v>
      </c>
      <c r="B124">
        <v>62115</v>
      </c>
      <c r="C124" t="s">
        <v>311</v>
      </c>
      <c r="D124">
        <v>621153</v>
      </c>
      <c r="E124" t="s">
        <v>324</v>
      </c>
      <c r="F124" t="s">
        <v>295</v>
      </c>
      <c r="G124" t="s">
        <v>325</v>
      </c>
    </row>
    <row r="125" spans="1:7" x14ac:dyDescent="0.25">
      <c r="A125" t="s">
        <v>326</v>
      </c>
      <c r="B125">
        <v>62115</v>
      </c>
      <c r="C125" t="s">
        <v>311</v>
      </c>
      <c r="D125">
        <v>621153</v>
      </c>
      <c r="E125" t="s">
        <v>324</v>
      </c>
      <c r="F125" t="s">
        <v>295</v>
      </c>
      <c r="G125" t="s">
        <v>327</v>
      </c>
    </row>
    <row r="126" spans="1:7" x14ac:dyDescent="0.25">
      <c r="A126" t="s">
        <v>323</v>
      </c>
      <c r="B126">
        <v>62115</v>
      </c>
      <c r="C126" t="s">
        <v>312</v>
      </c>
      <c r="D126">
        <v>621154</v>
      </c>
      <c r="E126" t="s">
        <v>324</v>
      </c>
      <c r="F126" t="s">
        <v>295</v>
      </c>
      <c r="G126" t="s">
        <v>325</v>
      </c>
    </row>
    <row r="127" spans="1:7" x14ac:dyDescent="0.25">
      <c r="A127" t="s">
        <v>326</v>
      </c>
      <c r="B127">
        <v>62115</v>
      </c>
      <c r="C127" t="s">
        <v>312</v>
      </c>
      <c r="D127">
        <v>621154</v>
      </c>
      <c r="E127" t="s">
        <v>324</v>
      </c>
      <c r="F127" t="s">
        <v>295</v>
      </c>
      <c r="G127" t="s">
        <v>327</v>
      </c>
    </row>
    <row r="128" spans="1:7" x14ac:dyDescent="0.25">
      <c r="A128" t="s">
        <v>323</v>
      </c>
      <c r="B128">
        <v>62115</v>
      </c>
      <c r="C128" t="s">
        <v>313</v>
      </c>
      <c r="D128">
        <v>621155</v>
      </c>
      <c r="E128" t="s">
        <v>324</v>
      </c>
      <c r="F128" t="s">
        <v>295</v>
      </c>
      <c r="G128" t="s">
        <v>325</v>
      </c>
    </row>
    <row r="129" spans="1:7" x14ac:dyDescent="0.25">
      <c r="A129" t="s">
        <v>326</v>
      </c>
      <c r="B129">
        <v>62115</v>
      </c>
      <c r="C129" t="s">
        <v>313</v>
      </c>
      <c r="D129">
        <v>621155</v>
      </c>
      <c r="E129" t="s">
        <v>324</v>
      </c>
      <c r="F129" t="s">
        <v>295</v>
      </c>
      <c r="G129" t="s">
        <v>327</v>
      </c>
    </row>
    <row r="130" spans="1:7" x14ac:dyDescent="0.25">
      <c r="A130" t="s">
        <v>328</v>
      </c>
      <c r="B130">
        <v>62200</v>
      </c>
      <c r="C130" t="s">
        <v>31</v>
      </c>
      <c r="D130">
        <v>622000</v>
      </c>
      <c r="E130" t="s">
        <v>329</v>
      </c>
      <c r="F130" t="s">
        <v>330</v>
      </c>
      <c r="G130" t="s">
        <v>331</v>
      </c>
    </row>
    <row r="131" spans="1:7" x14ac:dyDescent="0.25">
      <c r="A131" t="s">
        <v>332</v>
      </c>
      <c r="B131">
        <v>62200</v>
      </c>
      <c r="C131" t="s">
        <v>31</v>
      </c>
      <c r="D131">
        <v>622000</v>
      </c>
      <c r="E131" t="s">
        <v>329</v>
      </c>
      <c r="F131" t="s">
        <v>330</v>
      </c>
      <c r="G131" t="s">
        <v>333</v>
      </c>
    </row>
    <row r="132" spans="1:7" x14ac:dyDescent="0.25">
      <c r="A132" t="s">
        <v>334</v>
      </c>
      <c r="B132">
        <v>62210</v>
      </c>
      <c r="C132" t="s">
        <v>31</v>
      </c>
      <c r="D132">
        <v>622100</v>
      </c>
      <c r="E132" t="s">
        <v>335</v>
      </c>
      <c r="F132" t="s">
        <v>330</v>
      </c>
      <c r="G132" t="s">
        <v>336</v>
      </c>
    </row>
    <row r="133" spans="1:7" x14ac:dyDescent="0.25">
      <c r="A133" t="s">
        <v>337</v>
      </c>
      <c r="B133">
        <v>62210</v>
      </c>
      <c r="C133" t="s">
        <v>31</v>
      </c>
      <c r="D133">
        <v>622100</v>
      </c>
      <c r="E133" t="s">
        <v>335</v>
      </c>
      <c r="F133" t="s">
        <v>330</v>
      </c>
      <c r="G133" t="s">
        <v>338</v>
      </c>
    </row>
    <row r="134" spans="1:7" x14ac:dyDescent="0.25">
      <c r="A134" t="s">
        <v>339</v>
      </c>
      <c r="B134">
        <v>62220</v>
      </c>
      <c r="C134" t="s">
        <v>31</v>
      </c>
      <c r="D134">
        <v>622200</v>
      </c>
      <c r="E134" t="s">
        <v>340</v>
      </c>
      <c r="F134" t="s">
        <v>330</v>
      </c>
      <c r="G134" t="s">
        <v>341</v>
      </c>
    </row>
    <row r="135" spans="1:7" x14ac:dyDescent="0.25">
      <c r="A135" t="s">
        <v>342</v>
      </c>
      <c r="B135">
        <v>62220</v>
      </c>
      <c r="C135" t="s">
        <v>31</v>
      </c>
      <c r="D135">
        <v>622200</v>
      </c>
      <c r="E135" t="s">
        <v>340</v>
      </c>
      <c r="F135" t="s">
        <v>330</v>
      </c>
      <c r="G135" t="s">
        <v>343</v>
      </c>
    </row>
    <row r="136" spans="1:7" x14ac:dyDescent="0.25">
      <c r="A136" t="s">
        <v>69</v>
      </c>
      <c r="B136">
        <v>62260</v>
      </c>
      <c r="C136" t="s">
        <v>31</v>
      </c>
      <c r="D136">
        <v>622300</v>
      </c>
      <c r="E136" t="s">
        <v>344</v>
      </c>
      <c r="F136" t="s">
        <v>330</v>
      </c>
      <c r="G136" t="s">
        <v>345</v>
      </c>
    </row>
    <row r="137" spans="1:7" x14ac:dyDescent="0.25">
      <c r="A137" t="s">
        <v>346</v>
      </c>
      <c r="B137">
        <v>62260</v>
      </c>
      <c r="C137" t="s">
        <v>31</v>
      </c>
      <c r="D137">
        <v>622300</v>
      </c>
      <c r="E137" t="s">
        <v>344</v>
      </c>
      <c r="F137" t="s">
        <v>330</v>
      </c>
      <c r="G137" t="s">
        <v>347</v>
      </c>
    </row>
    <row r="138" spans="1:7" x14ac:dyDescent="0.25">
      <c r="A138" t="s">
        <v>348</v>
      </c>
      <c r="B138">
        <v>62250</v>
      </c>
      <c r="C138" t="s">
        <v>293</v>
      </c>
      <c r="D138">
        <v>622500</v>
      </c>
      <c r="E138" t="s">
        <v>349</v>
      </c>
      <c r="F138" t="s">
        <v>350</v>
      </c>
      <c r="G138" t="s">
        <v>351</v>
      </c>
    </row>
    <row r="139" spans="1:7" x14ac:dyDescent="0.25">
      <c r="A139" t="s">
        <v>352</v>
      </c>
      <c r="B139">
        <v>62250</v>
      </c>
      <c r="C139" t="s">
        <v>293</v>
      </c>
      <c r="D139">
        <v>622500</v>
      </c>
      <c r="E139" t="s">
        <v>349</v>
      </c>
      <c r="F139" t="s">
        <v>350</v>
      </c>
      <c r="G139" t="s">
        <v>353</v>
      </c>
    </row>
    <row r="140" spans="1:7" x14ac:dyDescent="0.25">
      <c r="A140" t="s">
        <v>69</v>
      </c>
      <c r="B140">
        <v>62260</v>
      </c>
      <c r="C140" t="s">
        <v>29</v>
      </c>
      <c r="D140">
        <v>622600</v>
      </c>
      <c r="E140" t="s">
        <v>354</v>
      </c>
      <c r="F140" t="s">
        <v>355</v>
      </c>
      <c r="G140" t="s">
        <v>345</v>
      </c>
    </row>
    <row r="141" spans="1:7" x14ac:dyDescent="0.25">
      <c r="A141" t="s">
        <v>346</v>
      </c>
      <c r="B141">
        <v>62260</v>
      </c>
      <c r="C141" t="s">
        <v>29</v>
      </c>
      <c r="D141">
        <v>622600</v>
      </c>
      <c r="E141" t="s">
        <v>354</v>
      </c>
      <c r="F141" t="s">
        <v>355</v>
      </c>
      <c r="G141" t="s">
        <v>347</v>
      </c>
    </row>
    <row r="142" spans="1:7" x14ac:dyDescent="0.25">
      <c r="A142" t="s">
        <v>69</v>
      </c>
      <c r="B142">
        <v>62260</v>
      </c>
      <c r="C142" t="s">
        <v>356</v>
      </c>
      <c r="D142">
        <v>622601</v>
      </c>
      <c r="E142" t="s">
        <v>357</v>
      </c>
      <c r="F142" t="s">
        <v>355</v>
      </c>
      <c r="G142" t="s">
        <v>345</v>
      </c>
    </row>
    <row r="143" spans="1:7" x14ac:dyDescent="0.25">
      <c r="A143" t="s">
        <v>346</v>
      </c>
      <c r="B143">
        <v>62260</v>
      </c>
      <c r="C143" t="s">
        <v>356</v>
      </c>
      <c r="D143">
        <v>622601</v>
      </c>
      <c r="E143" t="s">
        <v>357</v>
      </c>
      <c r="F143" t="s">
        <v>355</v>
      </c>
      <c r="G143" t="s">
        <v>347</v>
      </c>
    </row>
    <row r="144" spans="1:7" x14ac:dyDescent="0.25">
      <c r="A144" t="s">
        <v>69</v>
      </c>
      <c r="B144">
        <v>62260</v>
      </c>
      <c r="C144" t="s">
        <v>299</v>
      </c>
      <c r="D144">
        <v>622602</v>
      </c>
      <c r="E144" t="s">
        <v>357</v>
      </c>
      <c r="F144" t="s">
        <v>355</v>
      </c>
      <c r="G144" t="s">
        <v>345</v>
      </c>
    </row>
    <row r="145" spans="1:7" x14ac:dyDescent="0.25">
      <c r="A145" t="s">
        <v>346</v>
      </c>
      <c r="B145">
        <v>62260</v>
      </c>
      <c r="C145" t="s">
        <v>299</v>
      </c>
      <c r="D145">
        <v>622602</v>
      </c>
      <c r="E145" t="s">
        <v>357</v>
      </c>
      <c r="F145" t="s">
        <v>355</v>
      </c>
      <c r="G145" t="s">
        <v>347</v>
      </c>
    </row>
    <row r="146" spans="1:7" x14ac:dyDescent="0.25">
      <c r="A146" t="s">
        <v>69</v>
      </c>
      <c r="B146">
        <v>62260</v>
      </c>
      <c r="C146" t="s">
        <v>301</v>
      </c>
      <c r="D146">
        <v>622603</v>
      </c>
      <c r="E146" t="s">
        <v>357</v>
      </c>
      <c r="F146" t="s">
        <v>355</v>
      </c>
      <c r="G146" t="s">
        <v>345</v>
      </c>
    </row>
    <row r="147" spans="1:7" x14ac:dyDescent="0.25">
      <c r="A147" t="s">
        <v>346</v>
      </c>
      <c r="B147">
        <v>62260</v>
      </c>
      <c r="C147" t="s">
        <v>301</v>
      </c>
      <c r="D147">
        <v>622603</v>
      </c>
      <c r="E147" t="s">
        <v>357</v>
      </c>
      <c r="F147" t="s">
        <v>355</v>
      </c>
      <c r="G147" t="s">
        <v>347</v>
      </c>
    </row>
    <row r="148" spans="1:7" x14ac:dyDescent="0.25">
      <c r="A148" t="s">
        <v>69</v>
      </c>
      <c r="B148">
        <v>62260</v>
      </c>
      <c r="C148" t="s">
        <v>299</v>
      </c>
      <c r="D148">
        <v>622604</v>
      </c>
      <c r="E148" t="s">
        <v>358</v>
      </c>
      <c r="F148" t="s">
        <v>355</v>
      </c>
      <c r="G148" t="s">
        <v>345</v>
      </c>
    </row>
    <row r="149" spans="1:7" x14ac:dyDescent="0.25">
      <c r="A149" t="s">
        <v>346</v>
      </c>
      <c r="B149">
        <v>62260</v>
      </c>
      <c r="C149" t="s">
        <v>299</v>
      </c>
      <c r="D149">
        <v>622604</v>
      </c>
      <c r="E149" t="s">
        <v>358</v>
      </c>
      <c r="F149" t="s">
        <v>355</v>
      </c>
      <c r="G149" t="s">
        <v>347</v>
      </c>
    </row>
    <row r="150" spans="1:7" x14ac:dyDescent="0.25">
      <c r="A150" t="s">
        <v>359</v>
      </c>
      <c r="B150">
        <v>62261</v>
      </c>
      <c r="C150" t="s">
        <v>29</v>
      </c>
      <c r="D150">
        <v>622610</v>
      </c>
      <c r="E150" t="s">
        <v>360</v>
      </c>
      <c r="F150" t="s">
        <v>361</v>
      </c>
      <c r="G150" t="s">
        <v>362</v>
      </c>
    </row>
    <row r="151" spans="1:7" x14ac:dyDescent="0.25">
      <c r="A151" t="s">
        <v>363</v>
      </c>
      <c r="B151">
        <v>62261</v>
      </c>
      <c r="C151" t="s">
        <v>29</v>
      </c>
      <c r="D151">
        <v>622610</v>
      </c>
      <c r="E151" t="s">
        <v>360</v>
      </c>
      <c r="F151" t="s">
        <v>361</v>
      </c>
      <c r="G151" t="s">
        <v>364</v>
      </c>
    </row>
    <row r="152" spans="1:7" x14ac:dyDescent="0.25">
      <c r="A152" t="s">
        <v>359</v>
      </c>
      <c r="B152">
        <v>62261</v>
      </c>
      <c r="C152" t="s">
        <v>29</v>
      </c>
      <c r="D152">
        <v>622611</v>
      </c>
      <c r="E152" t="s">
        <v>365</v>
      </c>
      <c r="F152" t="s">
        <v>350</v>
      </c>
      <c r="G152" t="s">
        <v>362</v>
      </c>
    </row>
    <row r="153" spans="1:7" x14ac:dyDescent="0.25">
      <c r="A153" t="s">
        <v>363</v>
      </c>
      <c r="B153">
        <v>62261</v>
      </c>
      <c r="C153" t="s">
        <v>29</v>
      </c>
      <c r="D153">
        <v>622611</v>
      </c>
      <c r="E153" t="s">
        <v>365</v>
      </c>
      <c r="F153" t="s">
        <v>350</v>
      </c>
      <c r="G153" t="s">
        <v>364</v>
      </c>
    </row>
    <row r="154" spans="1:7" x14ac:dyDescent="0.25">
      <c r="A154" t="s">
        <v>69</v>
      </c>
      <c r="B154">
        <v>62260</v>
      </c>
      <c r="C154" t="s">
        <v>366</v>
      </c>
      <c r="D154">
        <v>622612</v>
      </c>
      <c r="E154" t="s">
        <v>360</v>
      </c>
      <c r="F154" t="s">
        <v>361</v>
      </c>
      <c r="G154" t="s">
        <v>345</v>
      </c>
    </row>
    <row r="155" spans="1:7" x14ac:dyDescent="0.25">
      <c r="A155" t="s">
        <v>346</v>
      </c>
      <c r="B155">
        <v>62260</v>
      </c>
      <c r="C155" t="s">
        <v>366</v>
      </c>
      <c r="D155">
        <v>622612</v>
      </c>
      <c r="E155" t="s">
        <v>360</v>
      </c>
      <c r="F155" t="s">
        <v>361</v>
      </c>
      <c r="G155" t="s">
        <v>347</v>
      </c>
    </row>
    <row r="156" spans="1:7" x14ac:dyDescent="0.25">
      <c r="A156" t="s">
        <v>69</v>
      </c>
      <c r="B156">
        <v>62260</v>
      </c>
      <c r="C156" t="s">
        <v>366</v>
      </c>
      <c r="D156">
        <v>622613</v>
      </c>
      <c r="E156" t="s">
        <v>367</v>
      </c>
      <c r="F156" t="s">
        <v>361</v>
      </c>
      <c r="G156" t="s">
        <v>345</v>
      </c>
    </row>
    <row r="157" spans="1:7" x14ac:dyDescent="0.25">
      <c r="A157" t="s">
        <v>346</v>
      </c>
      <c r="B157">
        <v>62260</v>
      </c>
      <c r="C157" t="s">
        <v>366</v>
      </c>
      <c r="D157">
        <v>622613</v>
      </c>
      <c r="E157" t="s">
        <v>367</v>
      </c>
      <c r="F157" t="s">
        <v>361</v>
      </c>
      <c r="G157" t="s">
        <v>347</v>
      </c>
    </row>
    <row r="158" spans="1:7" x14ac:dyDescent="0.25">
      <c r="A158" t="s">
        <v>69</v>
      </c>
      <c r="B158">
        <v>62260</v>
      </c>
      <c r="C158" t="s">
        <v>302</v>
      </c>
      <c r="D158">
        <v>622620</v>
      </c>
      <c r="E158" t="s">
        <v>354</v>
      </c>
      <c r="F158" t="s">
        <v>355</v>
      </c>
      <c r="G158" t="s">
        <v>345</v>
      </c>
    </row>
    <row r="159" spans="1:7" x14ac:dyDescent="0.25">
      <c r="A159" t="s">
        <v>346</v>
      </c>
      <c r="B159">
        <v>62260</v>
      </c>
      <c r="C159" t="s">
        <v>302</v>
      </c>
      <c r="D159">
        <v>622620</v>
      </c>
      <c r="E159" t="s">
        <v>354</v>
      </c>
      <c r="F159" t="s">
        <v>355</v>
      </c>
      <c r="G159" t="s">
        <v>347</v>
      </c>
    </row>
    <row r="160" spans="1:7" x14ac:dyDescent="0.25">
      <c r="A160" t="s">
        <v>69</v>
      </c>
      <c r="B160">
        <v>62260</v>
      </c>
      <c r="C160" t="s">
        <v>303</v>
      </c>
      <c r="D160">
        <v>622621</v>
      </c>
      <c r="E160" t="s">
        <v>357</v>
      </c>
      <c r="F160" t="s">
        <v>355</v>
      </c>
      <c r="G160" t="s">
        <v>345</v>
      </c>
    </row>
    <row r="161" spans="1:7" x14ac:dyDescent="0.25">
      <c r="A161" t="s">
        <v>346</v>
      </c>
      <c r="B161">
        <v>62260</v>
      </c>
      <c r="C161" t="s">
        <v>303</v>
      </c>
      <c r="D161">
        <v>622621</v>
      </c>
      <c r="E161" t="s">
        <v>357</v>
      </c>
      <c r="F161" t="s">
        <v>355</v>
      </c>
      <c r="G161" t="s">
        <v>347</v>
      </c>
    </row>
    <row r="162" spans="1:7" x14ac:dyDescent="0.25">
      <c r="A162" t="s">
        <v>69</v>
      </c>
      <c r="B162">
        <v>62260</v>
      </c>
      <c r="C162" t="s">
        <v>303</v>
      </c>
      <c r="D162">
        <v>622622</v>
      </c>
      <c r="E162" t="s">
        <v>358</v>
      </c>
      <c r="F162" t="s">
        <v>355</v>
      </c>
      <c r="G162" t="s">
        <v>345</v>
      </c>
    </row>
    <row r="163" spans="1:7" x14ac:dyDescent="0.25">
      <c r="A163" t="s">
        <v>346</v>
      </c>
      <c r="B163">
        <v>62260</v>
      </c>
      <c r="C163" t="s">
        <v>303</v>
      </c>
      <c r="D163">
        <v>622622</v>
      </c>
      <c r="E163" t="s">
        <v>358</v>
      </c>
      <c r="F163" t="s">
        <v>355</v>
      </c>
      <c r="G163" t="s">
        <v>347</v>
      </c>
    </row>
    <row r="164" spans="1:7" x14ac:dyDescent="0.25">
      <c r="A164" t="s">
        <v>69</v>
      </c>
      <c r="B164">
        <v>62260</v>
      </c>
      <c r="C164" t="s">
        <v>311</v>
      </c>
      <c r="D164">
        <v>622630</v>
      </c>
      <c r="E164" t="s">
        <v>354</v>
      </c>
      <c r="F164" t="s">
        <v>355</v>
      </c>
      <c r="G164" t="s">
        <v>345</v>
      </c>
    </row>
    <row r="165" spans="1:7" x14ac:dyDescent="0.25">
      <c r="A165" t="s">
        <v>346</v>
      </c>
      <c r="B165">
        <v>62260</v>
      </c>
      <c r="C165" t="s">
        <v>311</v>
      </c>
      <c r="D165">
        <v>622630</v>
      </c>
      <c r="E165" t="s">
        <v>354</v>
      </c>
      <c r="F165" t="s">
        <v>355</v>
      </c>
      <c r="G165" t="s">
        <v>347</v>
      </c>
    </row>
    <row r="166" spans="1:7" x14ac:dyDescent="0.25">
      <c r="A166" t="s">
        <v>69</v>
      </c>
      <c r="B166">
        <v>62260</v>
      </c>
      <c r="C166" t="s">
        <v>312</v>
      </c>
      <c r="D166">
        <v>622640</v>
      </c>
      <c r="E166" t="s">
        <v>354</v>
      </c>
      <c r="F166" t="s">
        <v>355</v>
      </c>
      <c r="G166" t="s">
        <v>345</v>
      </c>
    </row>
    <row r="167" spans="1:7" x14ac:dyDescent="0.25">
      <c r="A167" t="s">
        <v>346</v>
      </c>
      <c r="B167">
        <v>62260</v>
      </c>
      <c r="C167" t="s">
        <v>312</v>
      </c>
      <c r="D167">
        <v>622640</v>
      </c>
      <c r="E167" t="s">
        <v>354</v>
      </c>
      <c r="F167" t="s">
        <v>355</v>
      </c>
      <c r="G167" t="s">
        <v>347</v>
      </c>
    </row>
    <row r="168" spans="1:7" x14ac:dyDescent="0.25">
      <c r="A168" t="s">
        <v>69</v>
      </c>
      <c r="B168">
        <v>62260</v>
      </c>
      <c r="C168" t="s">
        <v>313</v>
      </c>
      <c r="D168">
        <v>622650</v>
      </c>
      <c r="E168" t="s">
        <v>354</v>
      </c>
      <c r="F168" t="s">
        <v>355</v>
      </c>
      <c r="G168" t="s">
        <v>345</v>
      </c>
    </row>
    <row r="169" spans="1:7" x14ac:dyDescent="0.25">
      <c r="A169" t="s">
        <v>346</v>
      </c>
      <c r="B169">
        <v>62260</v>
      </c>
      <c r="C169" t="s">
        <v>313</v>
      </c>
      <c r="D169">
        <v>622650</v>
      </c>
      <c r="E169" t="s">
        <v>354</v>
      </c>
      <c r="F169" t="s">
        <v>355</v>
      </c>
      <c r="G169" t="s">
        <v>347</v>
      </c>
    </row>
    <row r="170" spans="1:7" x14ac:dyDescent="0.25">
      <c r="A170" t="s">
        <v>71</v>
      </c>
      <c r="B170">
        <v>62300</v>
      </c>
      <c r="C170" t="s">
        <v>29</v>
      </c>
      <c r="D170">
        <v>623000</v>
      </c>
      <c r="E170" t="s">
        <v>368</v>
      </c>
      <c r="F170" t="s">
        <v>355</v>
      </c>
      <c r="G170" t="s">
        <v>369</v>
      </c>
    </row>
    <row r="171" spans="1:7" x14ac:dyDescent="0.25">
      <c r="A171" t="s">
        <v>370</v>
      </c>
      <c r="B171">
        <v>62300</v>
      </c>
      <c r="C171" t="s">
        <v>29</v>
      </c>
      <c r="D171">
        <v>623000</v>
      </c>
      <c r="E171" t="s">
        <v>368</v>
      </c>
      <c r="F171" t="s">
        <v>355</v>
      </c>
      <c r="G171" t="s">
        <v>371</v>
      </c>
    </row>
    <row r="172" spans="1:7" x14ac:dyDescent="0.25">
      <c r="A172" t="s">
        <v>71</v>
      </c>
      <c r="B172">
        <v>62300</v>
      </c>
      <c r="C172" t="s">
        <v>302</v>
      </c>
      <c r="D172">
        <v>623020</v>
      </c>
      <c r="E172" t="s">
        <v>368</v>
      </c>
      <c r="F172" t="s">
        <v>355</v>
      </c>
      <c r="G172" t="s">
        <v>369</v>
      </c>
    </row>
    <row r="173" spans="1:7" x14ac:dyDescent="0.25">
      <c r="A173" t="s">
        <v>370</v>
      </c>
      <c r="B173">
        <v>62300</v>
      </c>
      <c r="C173" t="s">
        <v>302</v>
      </c>
      <c r="D173">
        <v>623020</v>
      </c>
      <c r="E173" t="s">
        <v>368</v>
      </c>
      <c r="F173" t="s">
        <v>355</v>
      </c>
      <c r="G173" t="s">
        <v>371</v>
      </c>
    </row>
    <row r="174" spans="1:7" x14ac:dyDescent="0.25">
      <c r="A174" t="s">
        <v>71</v>
      </c>
      <c r="B174">
        <v>62300</v>
      </c>
      <c r="C174" t="s">
        <v>311</v>
      </c>
      <c r="D174">
        <v>623030</v>
      </c>
      <c r="E174" t="s">
        <v>368</v>
      </c>
      <c r="F174" t="s">
        <v>355</v>
      </c>
      <c r="G174" t="s">
        <v>369</v>
      </c>
    </row>
    <row r="175" spans="1:7" x14ac:dyDescent="0.25">
      <c r="A175" t="s">
        <v>370</v>
      </c>
      <c r="B175">
        <v>62300</v>
      </c>
      <c r="C175" t="s">
        <v>311</v>
      </c>
      <c r="D175">
        <v>623030</v>
      </c>
      <c r="E175" t="s">
        <v>368</v>
      </c>
      <c r="F175" t="s">
        <v>355</v>
      </c>
      <c r="G175" t="s">
        <v>371</v>
      </c>
    </row>
    <row r="176" spans="1:7" x14ac:dyDescent="0.25">
      <c r="A176" t="s">
        <v>71</v>
      </c>
      <c r="B176">
        <v>62300</v>
      </c>
      <c r="C176" t="s">
        <v>312</v>
      </c>
      <c r="D176">
        <v>623040</v>
      </c>
      <c r="E176" t="s">
        <v>368</v>
      </c>
      <c r="F176" t="s">
        <v>355</v>
      </c>
      <c r="G176" t="s">
        <v>369</v>
      </c>
    </row>
    <row r="177" spans="1:7" x14ac:dyDescent="0.25">
      <c r="A177" t="s">
        <v>370</v>
      </c>
      <c r="B177">
        <v>62300</v>
      </c>
      <c r="C177" t="s">
        <v>312</v>
      </c>
      <c r="D177">
        <v>623040</v>
      </c>
      <c r="E177" t="s">
        <v>368</v>
      </c>
      <c r="F177" t="s">
        <v>355</v>
      </c>
      <c r="G177" t="s">
        <v>371</v>
      </c>
    </row>
    <row r="178" spans="1:7" x14ac:dyDescent="0.25">
      <c r="A178" t="s">
        <v>71</v>
      </c>
      <c r="B178">
        <v>62300</v>
      </c>
      <c r="C178" t="s">
        <v>313</v>
      </c>
      <c r="D178">
        <v>623050</v>
      </c>
      <c r="E178" t="s">
        <v>368</v>
      </c>
      <c r="F178" t="s">
        <v>355</v>
      </c>
      <c r="G178" t="s">
        <v>369</v>
      </c>
    </row>
    <row r="179" spans="1:7" x14ac:dyDescent="0.25">
      <c r="A179" t="s">
        <v>370</v>
      </c>
      <c r="B179">
        <v>62300</v>
      </c>
      <c r="C179" t="s">
        <v>313</v>
      </c>
      <c r="D179">
        <v>623050</v>
      </c>
      <c r="E179" t="s">
        <v>368</v>
      </c>
      <c r="F179" t="s">
        <v>355</v>
      </c>
      <c r="G179" t="s">
        <v>371</v>
      </c>
    </row>
    <row r="180" spans="1:7" x14ac:dyDescent="0.25">
      <c r="A180" t="s">
        <v>372</v>
      </c>
      <c r="B180">
        <v>62350</v>
      </c>
      <c r="C180" t="s">
        <v>31</v>
      </c>
      <c r="D180">
        <v>623500</v>
      </c>
      <c r="E180" t="s">
        <v>373</v>
      </c>
      <c r="F180" t="s">
        <v>330</v>
      </c>
      <c r="G180" t="s">
        <v>374</v>
      </c>
    </row>
    <row r="181" spans="1:7" x14ac:dyDescent="0.25">
      <c r="A181" t="s">
        <v>375</v>
      </c>
      <c r="B181">
        <v>62350</v>
      </c>
      <c r="C181" t="s">
        <v>31</v>
      </c>
      <c r="D181">
        <v>623500</v>
      </c>
      <c r="E181" t="s">
        <v>373</v>
      </c>
      <c r="F181" t="s">
        <v>330</v>
      </c>
      <c r="G181" t="s">
        <v>376</v>
      </c>
    </row>
    <row r="182" spans="1:7" x14ac:dyDescent="0.25">
      <c r="A182" t="s">
        <v>75</v>
      </c>
      <c r="B182">
        <v>62500</v>
      </c>
      <c r="C182" t="s">
        <v>29</v>
      </c>
      <c r="D182">
        <v>625000</v>
      </c>
      <c r="E182" t="s">
        <v>377</v>
      </c>
      <c r="F182" t="s">
        <v>307</v>
      </c>
      <c r="G182" t="s">
        <v>378</v>
      </c>
    </row>
    <row r="183" spans="1:7" x14ac:dyDescent="0.25">
      <c r="A183" t="s">
        <v>73</v>
      </c>
      <c r="B183">
        <v>62500</v>
      </c>
      <c r="C183" t="s">
        <v>29</v>
      </c>
      <c r="D183">
        <v>625000</v>
      </c>
      <c r="E183" t="s">
        <v>377</v>
      </c>
      <c r="F183" t="s">
        <v>307</v>
      </c>
      <c r="G183" t="s">
        <v>379</v>
      </c>
    </row>
    <row r="184" spans="1:7" x14ac:dyDescent="0.25">
      <c r="A184" t="s">
        <v>75</v>
      </c>
      <c r="B184">
        <v>62500</v>
      </c>
      <c r="C184" t="s">
        <v>293</v>
      </c>
      <c r="D184">
        <v>625001</v>
      </c>
      <c r="E184" t="s">
        <v>377</v>
      </c>
      <c r="F184" t="s">
        <v>307</v>
      </c>
      <c r="G184" t="s">
        <v>378</v>
      </c>
    </row>
    <row r="185" spans="1:7" x14ac:dyDescent="0.25">
      <c r="A185" t="s">
        <v>73</v>
      </c>
      <c r="B185">
        <v>62500</v>
      </c>
      <c r="C185" t="s">
        <v>293</v>
      </c>
      <c r="D185">
        <v>625001</v>
      </c>
      <c r="E185" t="s">
        <v>377</v>
      </c>
      <c r="F185" t="s">
        <v>307</v>
      </c>
      <c r="G185" t="s">
        <v>379</v>
      </c>
    </row>
    <row r="186" spans="1:7" x14ac:dyDescent="0.25">
      <c r="A186" t="s">
        <v>75</v>
      </c>
      <c r="B186">
        <v>62500</v>
      </c>
      <c r="C186" t="s">
        <v>302</v>
      </c>
      <c r="D186">
        <v>625020</v>
      </c>
      <c r="E186" t="s">
        <v>377</v>
      </c>
      <c r="F186" t="s">
        <v>307</v>
      </c>
      <c r="G186" t="s">
        <v>378</v>
      </c>
    </row>
    <row r="187" spans="1:7" x14ac:dyDescent="0.25">
      <c r="A187" t="s">
        <v>73</v>
      </c>
      <c r="B187">
        <v>62500</v>
      </c>
      <c r="C187" t="s">
        <v>302</v>
      </c>
      <c r="D187">
        <v>625020</v>
      </c>
      <c r="E187" t="s">
        <v>377</v>
      </c>
      <c r="F187" t="s">
        <v>307</v>
      </c>
      <c r="G187" t="s">
        <v>379</v>
      </c>
    </row>
    <row r="188" spans="1:7" x14ac:dyDescent="0.25">
      <c r="A188" t="s">
        <v>75</v>
      </c>
      <c r="B188">
        <v>62500</v>
      </c>
      <c r="C188" t="s">
        <v>311</v>
      </c>
      <c r="D188">
        <v>625030</v>
      </c>
      <c r="E188" t="s">
        <v>377</v>
      </c>
      <c r="F188" t="s">
        <v>307</v>
      </c>
      <c r="G188" t="s">
        <v>378</v>
      </c>
    </row>
    <row r="189" spans="1:7" x14ac:dyDescent="0.25">
      <c r="A189" t="s">
        <v>73</v>
      </c>
      <c r="B189">
        <v>62500</v>
      </c>
      <c r="C189" t="s">
        <v>311</v>
      </c>
      <c r="D189">
        <v>625030</v>
      </c>
      <c r="E189" t="s">
        <v>377</v>
      </c>
      <c r="F189" t="s">
        <v>307</v>
      </c>
      <c r="G189" t="s">
        <v>379</v>
      </c>
    </row>
    <row r="190" spans="1:7" x14ac:dyDescent="0.25">
      <c r="A190" t="s">
        <v>75</v>
      </c>
      <c r="B190">
        <v>62500</v>
      </c>
      <c r="C190" t="s">
        <v>312</v>
      </c>
      <c r="D190">
        <v>625040</v>
      </c>
      <c r="E190" t="s">
        <v>377</v>
      </c>
      <c r="F190" t="s">
        <v>307</v>
      </c>
      <c r="G190" t="s">
        <v>378</v>
      </c>
    </row>
    <row r="191" spans="1:7" x14ac:dyDescent="0.25">
      <c r="A191" t="s">
        <v>73</v>
      </c>
      <c r="B191">
        <v>62500</v>
      </c>
      <c r="C191" t="s">
        <v>312</v>
      </c>
      <c r="D191">
        <v>625040</v>
      </c>
      <c r="E191" t="s">
        <v>377</v>
      </c>
      <c r="F191" t="s">
        <v>307</v>
      </c>
      <c r="G191" t="s">
        <v>379</v>
      </c>
    </row>
    <row r="192" spans="1:7" x14ac:dyDescent="0.25">
      <c r="A192" t="s">
        <v>75</v>
      </c>
      <c r="B192">
        <v>62500</v>
      </c>
      <c r="C192" t="s">
        <v>313</v>
      </c>
      <c r="D192">
        <v>625050</v>
      </c>
      <c r="E192" t="s">
        <v>377</v>
      </c>
      <c r="F192" t="s">
        <v>307</v>
      </c>
      <c r="G192" t="s">
        <v>378</v>
      </c>
    </row>
    <row r="193" spans="1:7" x14ac:dyDescent="0.25">
      <c r="A193" t="s">
        <v>73</v>
      </c>
      <c r="B193">
        <v>62500</v>
      </c>
      <c r="C193" t="s">
        <v>313</v>
      </c>
      <c r="D193">
        <v>625050</v>
      </c>
      <c r="E193" t="s">
        <v>377</v>
      </c>
      <c r="F193" t="s">
        <v>307</v>
      </c>
      <c r="G193" t="s">
        <v>379</v>
      </c>
    </row>
    <row r="194" spans="1:7" x14ac:dyDescent="0.25">
      <c r="A194" t="s">
        <v>380</v>
      </c>
      <c r="B194">
        <v>62550</v>
      </c>
      <c r="C194" t="s">
        <v>29</v>
      </c>
      <c r="D194">
        <v>625500</v>
      </c>
      <c r="E194" t="s">
        <v>381</v>
      </c>
      <c r="F194" t="s">
        <v>307</v>
      </c>
      <c r="G194" t="s">
        <v>382</v>
      </c>
    </row>
    <row r="195" spans="1:7" x14ac:dyDescent="0.25">
      <c r="A195" t="s">
        <v>383</v>
      </c>
      <c r="B195">
        <v>62550</v>
      </c>
      <c r="C195" t="s">
        <v>29</v>
      </c>
      <c r="D195">
        <v>625500</v>
      </c>
      <c r="E195" t="s">
        <v>381</v>
      </c>
      <c r="F195" t="s">
        <v>307</v>
      </c>
      <c r="G195" t="s">
        <v>384</v>
      </c>
    </row>
    <row r="196" spans="1:7" x14ac:dyDescent="0.25">
      <c r="A196" t="s">
        <v>380</v>
      </c>
      <c r="B196">
        <v>62550</v>
      </c>
      <c r="C196" t="s">
        <v>302</v>
      </c>
      <c r="D196">
        <v>625520</v>
      </c>
      <c r="E196" t="s">
        <v>381</v>
      </c>
      <c r="F196" t="s">
        <v>307</v>
      </c>
      <c r="G196" t="s">
        <v>382</v>
      </c>
    </row>
    <row r="197" spans="1:7" x14ac:dyDescent="0.25">
      <c r="A197" t="s">
        <v>383</v>
      </c>
      <c r="B197">
        <v>62550</v>
      </c>
      <c r="C197" t="s">
        <v>302</v>
      </c>
      <c r="D197">
        <v>625520</v>
      </c>
      <c r="E197" t="s">
        <v>381</v>
      </c>
      <c r="F197" t="s">
        <v>307</v>
      </c>
      <c r="G197" t="s">
        <v>384</v>
      </c>
    </row>
    <row r="198" spans="1:7" x14ac:dyDescent="0.25">
      <c r="A198" t="s">
        <v>380</v>
      </c>
      <c r="B198">
        <v>62550</v>
      </c>
      <c r="C198" t="s">
        <v>303</v>
      </c>
      <c r="D198">
        <v>625530</v>
      </c>
      <c r="E198" t="s">
        <v>381</v>
      </c>
      <c r="F198" t="s">
        <v>307</v>
      </c>
      <c r="G198" t="s">
        <v>382</v>
      </c>
    </row>
    <row r="199" spans="1:7" x14ac:dyDescent="0.25">
      <c r="A199" t="s">
        <v>383</v>
      </c>
      <c r="B199">
        <v>62550</v>
      </c>
      <c r="C199" t="s">
        <v>303</v>
      </c>
      <c r="D199">
        <v>625530</v>
      </c>
      <c r="E199" t="s">
        <v>381</v>
      </c>
      <c r="F199" t="s">
        <v>307</v>
      </c>
      <c r="G199" t="s">
        <v>384</v>
      </c>
    </row>
    <row r="200" spans="1:7" x14ac:dyDescent="0.25">
      <c r="A200" t="s">
        <v>380</v>
      </c>
      <c r="B200">
        <v>62550</v>
      </c>
      <c r="C200" t="s">
        <v>312</v>
      </c>
      <c r="D200">
        <v>625540</v>
      </c>
      <c r="E200" t="s">
        <v>381</v>
      </c>
      <c r="F200" t="s">
        <v>307</v>
      </c>
      <c r="G200" t="s">
        <v>382</v>
      </c>
    </row>
    <row r="201" spans="1:7" x14ac:dyDescent="0.25">
      <c r="A201" t="s">
        <v>383</v>
      </c>
      <c r="B201">
        <v>62550</v>
      </c>
      <c r="C201" t="s">
        <v>312</v>
      </c>
      <c r="D201">
        <v>625540</v>
      </c>
      <c r="E201" t="s">
        <v>381</v>
      </c>
      <c r="F201" t="s">
        <v>307</v>
      </c>
      <c r="G201" t="s">
        <v>384</v>
      </c>
    </row>
    <row r="202" spans="1:7" x14ac:dyDescent="0.25">
      <c r="A202" t="s">
        <v>380</v>
      </c>
      <c r="B202">
        <v>62550</v>
      </c>
      <c r="C202" t="s">
        <v>313</v>
      </c>
      <c r="D202">
        <v>625550</v>
      </c>
      <c r="E202" t="s">
        <v>381</v>
      </c>
      <c r="F202" t="s">
        <v>307</v>
      </c>
      <c r="G202" t="s">
        <v>382</v>
      </c>
    </row>
    <row r="203" spans="1:7" x14ac:dyDescent="0.25">
      <c r="A203" t="s">
        <v>383</v>
      </c>
      <c r="B203">
        <v>62550</v>
      </c>
      <c r="C203" t="s">
        <v>313</v>
      </c>
      <c r="D203">
        <v>625550</v>
      </c>
      <c r="E203" t="s">
        <v>381</v>
      </c>
      <c r="F203" t="s">
        <v>307</v>
      </c>
      <c r="G203" t="s">
        <v>384</v>
      </c>
    </row>
    <row r="204" spans="1:7" x14ac:dyDescent="0.25">
      <c r="A204" t="s">
        <v>385</v>
      </c>
      <c r="B204">
        <v>62560</v>
      </c>
      <c r="C204" t="s">
        <v>31</v>
      </c>
      <c r="D204">
        <v>625600</v>
      </c>
      <c r="E204" t="s">
        <v>386</v>
      </c>
      <c r="F204" t="s">
        <v>330</v>
      </c>
      <c r="G204" t="s">
        <v>387</v>
      </c>
    </row>
    <row r="205" spans="1:7" x14ac:dyDescent="0.25">
      <c r="A205" t="s">
        <v>388</v>
      </c>
      <c r="B205">
        <v>62560</v>
      </c>
      <c r="C205" t="s">
        <v>31</v>
      </c>
      <c r="D205">
        <v>625600</v>
      </c>
      <c r="E205" t="s">
        <v>386</v>
      </c>
      <c r="F205" t="s">
        <v>330</v>
      </c>
      <c r="G205" t="s">
        <v>389</v>
      </c>
    </row>
    <row r="206" spans="1:7" x14ac:dyDescent="0.25">
      <c r="A206" t="s">
        <v>77</v>
      </c>
      <c r="B206">
        <v>62600</v>
      </c>
      <c r="C206" t="s">
        <v>29</v>
      </c>
      <c r="D206">
        <v>626000</v>
      </c>
      <c r="E206" t="s">
        <v>390</v>
      </c>
      <c r="F206" t="s">
        <v>307</v>
      </c>
      <c r="G206" t="s">
        <v>391</v>
      </c>
    </row>
    <row r="207" spans="1:7" x14ac:dyDescent="0.25">
      <c r="A207" t="s">
        <v>392</v>
      </c>
      <c r="B207">
        <v>62600</v>
      </c>
      <c r="C207" t="s">
        <v>29</v>
      </c>
      <c r="D207">
        <v>626000</v>
      </c>
      <c r="E207" t="s">
        <v>390</v>
      </c>
      <c r="F207" t="s">
        <v>307</v>
      </c>
      <c r="G207" t="s">
        <v>393</v>
      </c>
    </row>
    <row r="208" spans="1:7" x14ac:dyDescent="0.25">
      <c r="A208" t="s">
        <v>77</v>
      </c>
      <c r="B208">
        <v>62600</v>
      </c>
      <c r="C208" t="s">
        <v>293</v>
      </c>
      <c r="D208">
        <v>626001</v>
      </c>
      <c r="E208" t="s">
        <v>390</v>
      </c>
      <c r="F208" t="s">
        <v>307</v>
      </c>
      <c r="G208" t="s">
        <v>391</v>
      </c>
    </row>
    <row r="209" spans="1:7" x14ac:dyDescent="0.25">
      <c r="A209" t="s">
        <v>392</v>
      </c>
      <c r="B209">
        <v>62600</v>
      </c>
      <c r="C209" t="s">
        <v>293</v>
      </c>
      <c r="D209">
        <v>626001</v>
      </c>
      <c r="E209" t="s">
        <v>390</v>
      </c>
      <c r="F209" t="s">
        <v>307</v>
      </c>
      <c r="G209" t="s">
        <v>393</v>
      </c>
    </row>
    <row r="210" spans="1:7" x14ac:dyDescent="0.25">
      <c r="A210" t="s">
        <v>77</v>
      </c>
      <c r="B210">
        <v>62600</v>
      </c>
      <c r="C210" t="s">
        <v>302</v>
      </c>
      <c r="D210">
        <v>626020</v>
      </c>
      <c r="E210" t="s">
        <v>390</v>
      </c>
      <c r="F210" t="s">
        <v>307</v>
      </c>
      <c r="G210" t="s">
        <v>391</v>
      </c>
    </row>
    <row r="211" spans="1:7" x14ac:dyDescent="0.25">
      <c r="A211" t="s">
        <v>392</v>
      </c>
      <c r="B211">
        <v>62600</v>
      </c>
      <c r="C211" t="s">
        <v>302</v>
      </c>
      <c r="D211">
        <v>626020</v>
      </c>
      <c r="E211" t="s">
        <v>390</v>
      </c>
      <c r="F211" t="s">
        <v>307</v>
      </c>
      <c r="G211" t="s">
        <v>393</v>
      </c>
    </row>
    <row r="212" spans="1:7" x14ac:dyDescent="0.25">
      <c r="A212" t="s">
        <v>77</v>
      </c>
      <c r="B212">
        <v>62600</v>
      </c>
      <c r="C212" t="s">
        <v>303</v>
      </c>
      <c r="D212">
        <v>626030</v>
      </c>
      <c r="E212" t="s">
        <v>390</v>
      </c>
      <c r="F212" t="s">
        <v>307</v>
      </c>
      <c r="G212" t="s">
        <v>391</v>
      </c>
    </row>
    <row r="213" spans="1:7" x14ac:dyDescent="0.25">
      <c r="A213" t="s">
        <v>392</v>
      </c>
      <c r="B213">
        <v>62600</v>
      </c>
      <c r="C213" t="s">
        <v>303</v>
      </c>
      <c r="D213">
        <v>626030</v>
      </c>
      <c r="E213" t="s">
        <v>390</v>
      </c>
      <c r="F213" t="s">
        <v>307</v>
      </c>
      <c r="G213" t="s">
        <v>393</v>
      </c>
    </row>
    <row r="214" spans="1:7" x14ac:dyDescent="0.25">
      <c r="A214" t="s">
        <v>77</v>
      </c>
      <c r="B214">
        <v>62600</v>
      </c>
      <c r="C214" t="s">
        <v>312</v>
      </c>
      <c r="D214">
        <v>626040</v>
      </c>
      <c r="E214" t="s">
        <v>390</v>
      </c>
      <c r="F214" t="s">
        <v>307</v>
      </c>
      <c r="G214" t="s">
        <v>391</v>
      </c>
    </row>
    <row r="215" spans="1:7" x14ac:dyDescent="0.25">
      <c r="A215" t="s">
        <v>392</v>
      </c>
      <c r="B215">
        <v>62600</v>
      </c>
      <c r="C215" t="s">
        <v>312</v>
      </c>
      <c r="D215">
        <v>626040</v>
      </c>
      <c r="E215" t="s">
        <v>390</v>
      </c>
      <c r="F215" t="s">
        <v>307</v>
      </c>
      <c r="G215" t="s">
        <v>393</v>
      </c>
    </row>
    <row r="216" spans="1:7" x14ac:dyDescent="0.25">
      <c r="A216" t="s">
        <v>77</v>
      </c>
      <c r="B216">
        <v>62600</v>
      </c>
      <c r="C216" t="s">
        <v>313</v>
      </c>
      <c r="D216">
        <v>626050</v>
      </c>
      <c r="E216" t="s">
        <v>390</v>
      </c>
      <c r="F216" t="s">
        <v>307</v>
      </c>
      <c r="G216" t="s">
        <v>391</v>
      </c>
    </row>
    <row r="217" spans="1:7" x14ac:dyDescent="0.25">
      <c r="A217" t="s">
        <v>392</v>
      </c>
      <c r="B217">
        <v>62600</v>
      </c>
      <c r="C217" t="s">
        <v>313</v>
      </c>
      <c r="D217">
        <v>626050</v>
      </c>
      <c r="E217" t="s">
        <v>390</v>
      </c>
      <c r="F217" t="s">
        <v>307</v>
      </c>
      <c r="G217" t="s">
        <v>393</v>
      </c>
    </row>
    <row r="218" spans="1:7" x14ac:dyDescent="0.25">
      <c r="A218" t="s">
        <v>79</v>
      </c>
      <c r="B218">
        <v>64100</v>
      </c>
      <c r="C218" t="s">
        <v>299</v>
      </c>
      <c r="D218">
        <v>627000</v>
      </c>
      <c r="E218" t="s">
        <v>394</v>
      </c>
      <c r="F218" t="s">
        <v>395</v>
      </c>
      <c r="G218" t="s">
        <v>396</v>
      </c>
    </row>
    <row r="219" spans="1:7" x14ac:dyDescent="0.25">
      <c r="A219" t="s">
        <v>397</v>
      </c>
      <c r="B219">
        <v>64100</v>
      </c>
      <c r="C219" t="s">
        <v>299</v>
      </c>
      <c r="D219">
        <v>627000</v>
      </c>
      <c r="E219" t="s">
        <v>394</v>
      </c>
      <c r="F219" t="s">
        <v>395</v>
      </c>
      <c r="G219" t="s">
        <v>398</v>
      </c>
    </row>
    <row r="220" spans="1:7" x14ac:dyDescent="0.25">
      <c r="A220" t="s">
        <v>79</v>
      </c>
      <c r="B220">
        <v>64100</v>
      </c>
      <c r="C220" t="s">
        <v>399</v>
      </c>
      <c r="D220">
        <v>627010</v>
      </c>
      <c r="E220" t="s">
        <v>394</v>
      </c>
      <c r="F220" t="s">
        <v>395</v>
      </c>
      <c r="G220" t="s">
        <v>396</v>
      </c>
    </row>
    <row r="221" spans="1:7" x14ac:dyDescent="0.25">
      <c r="A221" t="s">
        <v>397</v>
      </c>
      <c r="B221">
        <v>64100</v>
      </c>
      <c r="C221" t="s">
        <v>399</v>
      </c>
      <c r="D221">
        <v>627010</v>
      </c>
      <c r="E221" t="s">
        <v>394</v>
      </c>
      <c r="F221" t="s">
        <v>395</v>
      </c>
      <c r="G221" t="s">
        <v>398</v>
      </c>
    </row>
    <row r="222" spans="1:7" x14ac:dyDescent="0.25">
      <c r="A222" t="s">
        <v>79</v>
      </c>
      <c r="B222">
        <v>64100</v>
      </c>
      <c r="C222" t="s">
        <v>311</v>
      </c>
      <c r="D222">
        <v>627020</v>
      </c>
      <c r="E222" t="s">
        <v>394</v>
      </c>
      <c r="F222" t="s">
        <v>395</v>
      </c>
      <c r="G222" t="s">
        <v>396</v>
      </c>
    </row>
    <row r="223" spans="1:7" x14ac:dyDescent="0.25">
      <c r="A223" t="s">
        <v>397</v>
      </c>
      <c r="B223">
        <v>64100</v>
      </c>
      <c r="C223" t="s">
        <v>311</v>
      </c>
      <c r="D223">
        <v>627020</v>
      </c>
      <c r="E223" t="s">
        <v>394</v>
      </c>
      <c r="F223" t="s">
        <v>395</v>
      </c>
      <c r="G223" t="s">
        <v>398</v>
      </c>
    </row>
    <row r="224" spans="1:7" x14ac:dyDescent="0.25">
      <c r="A224" t="s">
        <v>79</v>
      </c>
      <c r="B224">
        <v>64100</v>
      </c>
      <c r="C224" t="s">
        <v>29</v>
      </c>
      <c r="D224">
        <v>627030</v>
      </c>
      <c r="E224" t="s">
        <v>394</v>
      </c>
      <c r="F224" t="s">
        <v>395</v>
      </c>
      <c r="G224" t="s">
        <v>396</v>
      </c>
    </row>
    <row r="225" spans="1:7" x14ac:dyDescent="0.25">
      <c r="A225" t="s">
        <v>397</v>
      </c>
      <c r="B225">
        <v>64100</v>
      </c>
      <c r="C225" t="s">
        <v>29</v>
      </c>
      <c r="D225">
        <v>627030</v>
      </c>
      <c r="E225" t="s">
        <v>394</v>
      </c>
      <c r="F225" t="s">
        <v>395</v>
      </c>
      <c r="G225" t="s">
        <v>398</v>
      </c>
    </row>
    <row r="226" spans="1:7" x14ac:dyDescent="0.25">
      <c r="A226" t="s">
        <v>79</v>
      </c>
      <c r="B226">
        <v>64100</v>
      </c>
      <c r="C226" t="s">
        <v>302</v>
      </c>
      <c r="D226">
        <v>627040</v>
      </c>
      <c r="E226" t="s">
        <v>394</v>
      </c>
      <c r="F226" t="s">
        <v>395</v>
      </c>
      <c r="G226" t="s">
        <v>396</v>
      </c>
    </row>
    <row r="227" spans="1:7" x14ac:dyDescent="0.25">
      <c r="A227" t="s">
        <v>397</v>
      </c>
      <c r="B227">
        <v>64100</v>
      </c>
      <c r="C227" t="s">
        <v>302</v>
      </c>
      <c r="D227">
        <v>627040</v>
      </c>
      <c r="E227" t="s">
        <v>394</v>
      </c>
      <c r="F227" t="s">
        <v>395</v>
      </c>
      <c r="G227" t="s">
        <v>398</v>
      </c>
    </row>
    <row r="228" spans="1:7" x14ac:dyDescent="0.25">
      <c r="A228" t="s">
        <v>79</v>
      </c>
      <c r="B228">
        <v>64100</v>
      </c>
      <c r="C228" t="s">
        <v>303</v>
      </c>
      <c r="D228">
        <v>627050</v>
      </c>
      <c r="E228" t="s">
        <v>394</v>
      </c>
      <c r="F228" t="s">
        <v>395</v>
      </c>
      <c r="G228" t="s">
        <v>396</v>
      </c>
    </row>
    <row r="229" spans="1:7" x14ac:dyDescent="0.25">
      <c r="A229" t="s">
        <v>397</v>
      </c>
      <c r="B229">
        <v>64100</v>
      </c>
      <c r="C229" t="s">
        <v>303</v>
      </c>
      <c r="D229">
        <v>627050</v>
      </c>
      <c r="E229" t="s">
        <v>394</v>
      </c>
      <c r="F229" t="s">
        <v>395</v>
      </c>
      <c r="G229" t="s">
        <v>398</v>
      </c>
    </row>
    <row r="230" spans="1:7" x14ac:dyDescent="0.25">
      <c r="A230" t="s">
        <v>400</v>
      </c>
      <c r="B230">
        <v>64200</v>
      </c>
      <c r="C230" t="s">
        <v>299</v>
      </c>
      <c r="D230">
        <v>627200</v>
      </c>
      <c r="E230" t="s">
        <v>401</v>
      </c>
      <c r="F230" t="s">
        <v>395</v>
      </c>
      <c r="G230" t="s">
        <v>402</v>
      </c>
    </row>
    <row r="231" spans="1:7" x14ac:dyDescent="0.25">
      <c r="A231" t="s">
        <v>403</v>
      </c>
      <c r="B231">
        <v>64200</v>
      </c>
      <c r="C231" t="s">
        <v>299</v>
      </c>
      <c r="D231">
        <v>627200</v>
      </c>
      <c r="E231" t="s">
        <v>401</v>
      </c>
      <c r="F231" t="s">
        <v>395</v>
      </c>
      <c r="G231" t="s">
        <v>404</v>
      </c>
    </row>
    <row r="232" spans="1:7" x14ac:dyDescent="0.25">
      <c r="A232" t="s">
        <v>400</v>
      </c>
      <c r="B232">
        <v>64200</v>
      </c>
      <c r="C232" t="s">
        <v>299</v>
      </c>
      <c r="D232">
        <v>627210</v>
      </c>
      <c r="E232" t="s">
        <v>401</v>
      </c>
      <c r="F232" t="s">
        <v>395</v>
      </c>
      <c r="G232" t="s">
        <v>402</v>
      </c>
    </row>
    <row r="233" spans="1:7" x14ac:dyDescent="0.25">
      <c r="A233" t="s">
        <v>403</v>
      </c>
      <c r="B233">
        <v>64200</v>
      </c>
      <c r="C233" t="s">
        <v>299</v>
      </c>
      <c r="D233">
        <v>627210</v>
      </c>
      <c r="E233" t="s">
        <v>401</v>
      </c>
      <c r="F233" t="s">
        <v>395</v>
      </c>
      <c r="G233" t="s">
        <v>404</v>
      </c>
    </row>
    <row r="234" spans="1:7" x14ac:dyDescent="0.25">
      <c r="A234" t="s">
        <v>400</v>
      </c>
      <c r="B234">
        <v>64200</v>
      </c>
      <c r="C234" t="s">
        <v>399</v>
      </c>
      <c r="D234">
        <v>627220</v>
      </c>
      <c r="E234" t="s">
        <v>401</v>
      </c>
      <c r="F234" t="s">
        <v>395</v>
      </c>
      <c r="G234" t="s">
        <v>402</v>
      </c>
    </row>
    <row r="235" spans="1:7" x14ac:dyDescent="0.25">
      <c r="A235" t="s">
        <v>403</v>
      </c>
      <c r="B235">
        <v>64200</v>
      </c>
      <c r="C235" t="s">
        <v>399</v>
      </c>
      <c r="D235">
        <v>627220</v>
      </c>
      <c r="E235" t="s">
        <v>401</v>
      </c>
      <c r="F235" t="s">
        <v>395</v>
      </c>
      <c r="G235" t="s">
        <v>404</v>
      </c>
    </row>
    <row r="236" spans="1:7" x14ac:dyDescent="0.25">
      <c r="A236" t="s">
        <v>400</v>
      </c>
      <c r="B236">
        <v>64200</v>
      </c>
      <c r="C236" t="s">
        <v>311</v>
      </c>
      <c r="D236">
        <v>627230</v>
      </c>
      <c r="E236" t="s">
        <v>401</v>
      </c>
      <c r="F236" t="s">
        <v>395</v>
      </c>
      <c r="G236" t="s">
        <v>402</v>
      </c>
    </row>
    <row r="237" spans="1:7" x14ac:dyDescent="0.25">
      <c r="A237" t="s">
        <v>403</v>
      </c>
      <c r="B237">
        <v>64200</v>
      </c>
      <c r="C237" t="s">
        <v>311</v>
      </c>
      <c r="D237">
        <v>627230</v>
      </c>
      <c r="E237" t="s">
        <v>401</v>
      </c>
      <c r="F237" t="s">
        <v>395</v>
      </c>
      <c r="G237" t="s">
        <v>404</v>
      </c>
    </row>
    <row r="238" spans="1:7" x14ac:dyDescent="0.25">
      <c r="A238" t="s">
        <v>400</v>
      </c>
      <c r="B238">
        <v>64200</v>
      </c>
      <c r="C238" t="s">
        <v>29</v>
      </c>
      <c r="D238">
        <v>627240</v>
      </c>
      <c r="E238" t="s">
        <v>401</v>
      </c>
      <c r="F238" t="s">
        <v>395</v>
      </c>
      <c r="G238" t="s">
        <v>402</v>
      </c>
    </row>
    <row r="239" spans="1:7" x14ac:dyDescent="0.25">
      <c r="A239" t="s">
        <v>403</v>
      </c>
      <c r="B239">
        <v>64200</v>
      </c>
      <c r="C239" t="s">
        <v>29</v>
      </c>
      <c r="D239">
        <v>627240</v>
      </c>
      <c r="E239" t="s">
        <v>401</v>
      </c>
      <c r="F239" t="s">
        <v>395</v>
      </c>
      <c r="G239" t="s">
        <v>404</v>
      </c>
    </row>
    <row r="240" spans="1:7" x14ac:dyDescent="0.25">
      <c r="A240" t="s">
        <v>400</v>
      </c>
      <c r="B240">
        <v>64200</v>
      </c>
      <c r="C240" t="s">
        <v>302</v>
      </c>
      <c r="D240">
        <v>627250</v>
      </c>
      <c r="E240" t="s">
        <v>401</v>
      </c>
      <c r="F240" t="s">
        <v>395</v>
      </c>
      <c r="G240" t="s">
        <v>402</v>
      </c>
    </row>
    <row r="241" spans="1:7" x14ac:dyDescent="0.25">
      <c r="A241" t="s">
        <v>403</v>
      </c>
      <c r="B241">
        <v>64200</v>
      </c>
      <c r="C241" t="s">
        <v>302</v>
      </c>
      <c r="D241">
        <v>627250</v>
      </c>
      <c r="E241" t="s">
        <v>401</v>
      </c>
      <c r="F241" t="s">
        <v>395</v>
      </c>
      <c r="G241" t="s">
        <v>404</v>
      </c>
    </row>
    <row r="242" spans="1:7" x14ac:dyDescent="0.25">
      <c r="A242" t="s">
        <v>400</v>
      </c>
      <c r="B242">
        <v>64200</v>
      </c>
      <c r="C242" t="s">
        <v>303</v>
      </c>
      <c r="D242">
        <v>627260</v>
      </c>
      <c r="E242" t="s">
        <v>401</v>
      </c>
      <c r="F242" t="s">
        <v>395</v>
      </c>
      <c r="G242" t="s">
        <v>402</v>
      </c>
    </row>
    <row r="243" spans="1:7" x14ac:dyDescent="0.25">
      <c r="A243" t="s">
        <v>403</v>
      </c>
      <c r="B243">
        <v>64200</v>
      </c>
      <c r="C243" t="s">
        <v>303</v>
      </c>
      <c r="D243">
        <v>627260</v>
      </c>
      <c r="E243" t="s">
        <v>401</v>
      </c>
      <c r="F243" t="s">
        <v>395</v>
      </c>
      <c r="G243" t="s">
        <v>404</v>
      </c>
    </row>
    <row r="244" spans="1:7" x14ac:dyDescent="0.25">
      <c r="A244" t="s">
        <v>405</v>
      </c>
      <c r="B244">
        <v>64120</v>
      </c>
      <c r="C244" t="s">
        <v>299</v>
      </c>
      <c r="D244">
        <v>627300</v>
      </c>
      <c r="E244" t="s">
        <v>406</v>
      </c>
      <c r="F244" t="s">
        <v>395</v>
      </c>
      <c r="G244" t="s">
        <v>407</v>
      </c>
    </row>
    <row r="245" spans="1:7" x14ac:dyDescent="0.25">
      <c r="A245" t="s">
        <v>408</v>
      </c>
      <c r="B245">
        <v>64120</v>
      </c>
      <c r="C245" t="s">
        <v>299</v>
      </c>
      <c r="D245">
        <v>627300</v>
      </c>
      <c r="E245" t="s">
        <v>406</v>
      </c>
      <c r="F245" t="s">
        <v>395</v>
      </c>
      <c r="G245" t="s">
        <v>409</v>
      </c>
    </row>
    <row r="246" spans="1:7" x14ac:dyDescent="0.25">
      <c r="A246" t="s">
        <v>405</v>
      </c>
      <c r="B246">
        <v>64120</v>
      </c>
      <c r="C246" t="s">
        <v>399</v>
      </c>
      <c r="D246">
        <v>627310</v>
      </c>
      <c r="E246" t="s">
        <v>406</v>
      </c>
      <c r="F246" t="s">
        <v>395</v>
      </c>
      <c r="G246" t="s">
        <v>407</v>
      </c>
    </row>
    <row r="247" spans="1:7" x14ac:dyDescent="0.25">
      <c r="A247" t="s">
        <v>408</v>
      </c>
      <c r="B247">
        <v>64120</v>
      </c>
      <c r="C247" t="s">
        <v>399</v>
      </c>
      <c r="D247">
        <v>627310</v>
      </c>
      <c r="E247" t="s">
        <v>406</v>
      </c>
      <c r="F247" t="s">
        <v>395</v>
      </c>
      <c r="G247" t="s">
        <v>409</v>
      </c>
    </row>
    <row r="248" spans="1:7" x14ac:dyDescent="0.25">
      <c r="A248" t="s">
        <v>405</v>
      </c>
      <c r="B248">
        <v>64120</v>
      </c>
      <c r="C248" t="s">
        <v>311</v>
      </c>
      <c r="D248">
        <v>627320</v>
      </c>
      <c r="E248" t="s">
        <v>406</v>
      </c>
      <c r="F248" t="s">
        <v>395</v>
      </c>
      <c r="G248" t="s">
        <v>407</v>
      </c>
    </row>
    <row r="249" spans="1:7" x14ac:dyDescent="0.25">
      <c r="A249" t="s">
        <v>408</v>
      </c>
      <c r="B249">
        <v>64120</v>
      </c>
      <c r="C249" t="s">
        <v>311</v>
      </c>
      <c r="D249">
        <v>627320</v>
      </c>
      <c r="E249" t="s">
        <v>406</v>
      </c>
      <c r="F249" t="s">
        <v>395</v>
      </c>
      <c r="G249" t="s">
        <v>409</v>
      </c>
    </row>
    <row r="250" spans="1:7" x14ac:dyDescent="0.25">
      <c r="A250" t="s">
        <v>405</v>
      </c>
      <c r="B250">
        <v>64120</v>
      </c>
      <c r="D250">
        <v>627330</v>
      </c>
      <c r="E250" t="s">
        <v>406</v>
      </c>
      <c r="F250" t="s">
        <v>395</v>
      </c>
      <c r="G250" t="s">
        <v>407</v>
      </c>
    </row>
    <row r="251" spans="1:7" x14ac:dyDescent="0.25">
      <c r="A251" t="s">
        <v>408</v>
      </c>
      <c r="B251">
        <v>64120</v>
      </c>
      <c r="D251">
        <v>627330</v>
      </c>
      <c r="E251" t="s">
        <v>406</v>
      </c>
      <c r="F251" t="s">
        <v>395</v>
      </c>
      <c r="G251" t="s">
        <v>409</v>
      </c>
    </row>
    <row r="252" spans="1:7" x14ac:dyDescent="0.25">
      <c r="A252" t="s">
        <v>405</v>
      </c>
      <c r="B252">
        <v>64120</v>
      </c>
      <c r="D252">
        <v>627340</v>
      </c>
      <c r="E252" t="s">
        <v>406</v>
      </c>
      <c r="F252" t="s">
        <v>395</v>
      </c>
      <c r="G252" t="s">
        <v>407</v>
      </c>
    </row>
    <row r="253" spans="1:7" x14ac:dyDescent="0.25">
      <c r="A253" t="s">
        <v>408</v>
      </c>
      <c r="B253">
        <v>64120</v>
      </c>
      <c r="D253">
        <v>627340</v>
      </c>
      <c r="E253" t="s">
        <v>406</v>
      </c>
      <c r="F253" t="s">
        <v>395</v>
      </c>
      <c r="G253" t="s">
        <v>409</v>
      </c>
    </row>
    <row r="254" spans="1:7" x14ac:dyDescent="0.25">
      <c r="A254" t="s">
        <v>410</v>
      </c>
      <c r="B254">
        <v>62800</v>
      </c>
      <c r="C254" t="s">
        <v>29</v>
      </c>
      <c r="D254">
        <v>628000</v>
      </c>
      <c r="E254" t="s">
        <v>411</v>
      </c>
      <c r="F254" t="s">
        <v>350</v>
      </c>
      <c r="G254" t="s">
        <v>412</v>
      </c>
    </row>
    <row r="255" spans="1:7" x14ac:dyDescent="0.25">
      <c r="A255" t="s">
        <v>413</v>
      </c>
      <c r="B255">
        <v>62800</v>
      </c>
      <c r="C255" t="s">
        <v>29</v>
      </c>
      <c r="D255">
        <v>628000</v>
      </c>
      <c r="E255" t="s">
        <v>411</v>
      </c>
      <c r="F255" t="s">
        <v>350</v>
      </c>
      <c r="G255" t="s">
        <v>414</v>
      </c>
    </row>
    <row r="256" spans="1:7" x14ac:dyDescent="0.25">
      <c r="A256" t="s">
        <v>410</v>
      </c>
      <c r="B256">
        <v>62800</v>
      </c>
      <c r="C256" t="s">
        <v>302</v>
      </c>
      <c r="D256">
        <v>628020</v>
      </c>
      <c r="E256" t="s">
        <v>411</v>
      </c>
      <c r="F256" t="s">
        <v>350</v>
      </c>
      <c r="G256" t="s">
        <v>412</v>
      </c>
    </row>
    <row r="257" spans="1:7" x14ac:dyDescent="0.25">
      <c r="A257" t="s">
        <v>413</v>
      </c>
      <c r="B257">
        <v>62800</v>
      </c>
      <c r="C257" t="s">
        <v>302</v>
      </c>
      <c r="D257">
        <v>628020</v>
      </c>
      <c r="E257" t="s">
        <v>411</v>
      </c>
      <c r="F257" t="s">
        <v>350</v>
      </c>
      <c r="G257" t="s">
        <v>414</v>
      </c>
    </row>
    <row r="258" spans="1:7" x14ac:dyDescent="0.25">
      <c r="A258" t="s">
        <v>410</v>
      </c>
      <c r="B258">
        <v>62800</v>
      </c>
      <c r="C258" t="s">
        <v>303</v>
      </c>
      <c r="D258">
        <v>628030</v>
      </c>
      <c r="E258" t="s">
        <v>411</v>
      </c>
      <c r="F258" t="s">
        <v>350</v>
      </c>
      <c r="G258" t="s">
        <v>412</v>
      </c>
    </row>
    <row r="259" spans="1:7" x14ac:dyDescent="0.25">
      <c r="A259" t="s">
        <v>413</v>
      </c>
      <c r="B259">
        <v>62800</v>
      </c>
      <c r="C259" t="s">
        <v>303</v>
      </c>
      <c r="D259">
        <v>628030</v>
      </c>
      <c r="E259" t="s">
        <v>411</v>
      </c>
      <c r="F259" t="s">
        <v>350</v>
      </c>
      <c r="G259" t="s">
        <v>414</v>
      </c>
    </row>
    <row r="260" spans="1:7" x14ac:dyDescent="0.25">
      <c r="A260" t="s">
        <v>410</v>
      </c>
      <c r="B260">
        <v>62800</v>
      </c>
      <c r="C260" t="s">
        <v>304</v>
      </c>
      <c r="D260">
        <v>628040</v>
      </c>
      <c r="E260" t="s">
        <v>411</v>
      </c>
      <c r="F260" t="s">
        <v>350</v>
      </c>
      <c r="G260" t="s">
        <v>412</v>
      </c>
    </row>
    <row r="261" spans="1:7" x14ac:dyDescent="0.25">
      <c r="A261" t="s">
        <v>413</v>
      </c>
      <c r="B261">
        <v>62800</v>
      </c>
      <c r="C261" t="s">
        <v>304</v>
      </c>
      <c r="D261">
        <v>628040</v>
      </c>
      <c r="E261" t="s">
        <v>411</v>
      </c>
      <c r="F261" t="s">
        <v>350</v>
      </c>
      <c r="G261" t="s">
        <v>414</v>
      </c>
    </row>
    <row r="262" spans="1:7" x14ac:dyDescent="0.25">
      <c r="A262" t="s">
        <v>410</v>
      </c>
      <c r="B262">
        <v>62800</v>
      </c>
      <c r="C262" t="s">
        <v>305</v>
      </c>
      <c r="D262">
        <v>628050</v>
      </c>
      <c r="E262" t="s">
        <v>411</v>
      </c>
      <c r="F262" t="s">
        <v>350</v>
      </c>
      <c r="G262" t="s">
        <v>412</v>
      </c>
    </row>
    <row r="263" spans="1:7" x14ac:dyDescent="0.25">
      <c r="A263" t="s">
        <v>413</v>
      </c>
      <c r="B263">
        <v>62800</v>
      </c>
      <c r="C263" t="s">
        <v>305</v>
      </c>
      <c r="D263">
        <v>628050</v>
      </c>
      <c r="E263" t="s">
        <v>411</v>
      </c>
      <c r="F263" t="s">
        <v>350</v>
      </c>
      <c r="G263" t="s">
        <v>414</v>
      </c>
    </row>
    <row r="264" spans="1:7" x14ac:dyDescent="0.25">
      <c r="A264" t="s">
        <v>79</v>
      </c>
      <c r="B264">
        <v>64100</v>
      </c>
      <c r="C264" t="s">
        <v>299</v>
      </c>
      <c r="D264">
        <v>641000</v>
      </c>
      <c r="E264" t="s">
        <v>415</v>
      </c>
      <c r="F264" t="s">
        <v>416</v>
      </c>
      <c r="G264" t="s">
        <v>396</v>
      </c>
    </row>
    <row r="265" spans="1:7" x14ac:dyDescent="0.25">
      <c r="A265" t="s">
        <v>397</v>
      </c>
      <c r="B265">
        <v>64100</v>
      </c>
      <c r="C265" t="s">
        <v>299</v>
      </c>
      <c r="D265">
        <v>641000</v>
      </c>
      <c r="E265" t="s">
        <v>415</v>
      </c>
      <c r="F265" t="s">
        <v>416</v>
      </c>
      <c r="G265" t="s">
        <v>398</v>
      </c>
    </row>
    <row r="266" spans="1:7" x14ac:dyDescent="0.25">
      <c r="A266" t="s">
        <v>79</v>
      </c>
      <c r="B266">
        <v>61400</v>
      </c>
      <c r="C266" t="s">
        <v>31</v>
      </c>
      <c r="D266">
        <v>641001</v>
      </c>
      <c r="E266" t="s">
        <v>415</v>
      </c>
      <c r="F266" t="s">
        <v>330</v>
      </c>
      <c r="G266" t="s">
        <v>396</v>
      </c>
    </row>
    <row r="267" spans="1:7" x14ac:dyDescent="0.25">
      <c r="A267" t="s">
        <v>397</v>
      </c>
      <c r="B267">
        <v>61400</v>
      </c>
      <c r="C267" t="s">
        <v>31</v>
      </c>
      <c r="D267">
        <v>641001</v>
      </c>
      <c r="E267" t="s">
        <v>415</v>
      </c>
      <c r="F267" t="s">
        <v>330</v>
      </c>
      <c r="G267" t="s">
        <v>398</v>
      </c>
    </row>
    <row r="268" spans="1:7" x14ac:dyDescent="0.25">
      <c r="A268" t="s">
        <v>79</v>
      </c>
      <c r="B268">
        <v>64100</v>
      </c>
      <c r="C268" t="s">
        <v>399</v>
      </c>
      <c r="D268">
        <v>641020</v>
      </c>
      <c r="E268" t="s">
        <v>415</v>
      </c>
      <c r="F268" t="s">
        <v>416</v>
      </c>
      <c r="G268" t="s">
        <v>396</v>
      </c>
    </row>
    <row r="269" spans="1:7" x14ac:dyDescent="0.25">
      <c r="A269" t="s">
        <v>397</v>
      </c>
      <c r="B269">
        <v>64100</v>
      </c>
      <c r="C269" t="s">
        <v>399</v>
      </c>
      <c r="D269">
        <v>641020</v>
      </c>
      <c r="E269" t="s">
        <v>415</v>
      </c>
      <c r="F269" t="s">
        <v>416</v>
      </c>
      <c r="G269" t="s">
        <v>398</v>
      </c>
    </row>
    <row r="270" spans="1:7" x14ac:dyDescent="0.25">
      <c r="A270" t="s">
        <v>79</v>
      </c>
      <c r="B270">
        <v>64100</v>
      </c>
      <c r="C270" t="s">
        <v>311</v>
      </c>
      <c r="D270">
        <v>641030</v>
      </c>
      <c r="E270" t="s">
        <v>415</v>
      </c>
      <c r="F270" t="s">
        <v>416</v>
      </c>
      <c r="G270" t="s">
        <v>396</v>
      </c>
    </row>
    <row r="271" spans="1:7" x14ac:dyDescent="0.25">
      <c r="A271" t="s">
        <v>397</v>
      </c>
      <c r="B271">
        <v>64100</v>
      </c>
      <c r="C271" t="s">
        <v>311</v>
      </c>
      <c r="D271">
        <v>641030</v>
      </c>
      <c r="E271" t="s">
        <v>415</v>
      </c>
      <c r="F271" t="s">
        <v>416</v>
      </c>
      <c r="G271" t="s">
        <v>398</v>
      </c>
    </row>
    <row r="272" spans="1:7" x14ac:dyDescent="0.25">
      <c r="A272" t="s">
        <v>79</v>
      </c>
      <c r="B272">
        <v>64100</v>
      </c>
      <c r="C272" t="s">
        <v>29</v>
      </c>
      <c r="D272">
        <v>641040</v>
      </c>
      <c r="E272" t="s">
        <v>415</v>
      </c>
      <c r="F272" t="s">
        <v>416</v>
      </c>
      <c r="G272" t="s">
        <v>396</v>
      </c>
    </row>
    <row r="273" spans="1:7" x14ac:dyDescent="0.25">
      <c r="A273" t="s">
        <v>397</v>
      </c>
      <c r="B273">
        <v>64100</v>
      </c>
      <c r="C273" t="s">
        <v>29</v>
      </c>
      <c r="D273">
        <v>641040</v>
      </c>
      <c r="E273" t="s">
        <v>415</v>
      </c>
      <c r="F273" t="s">
        <v>416</v>
      </c>
      <c r="G273" t="s">
        <v>398</v>
      </c>
    </row>
    <row r="274" spans="1:7" x14ac:dyDescent="0.25">
      <c r="A274" t="s">
        <v>79</v>
      </c>
      <c r="B274">
        <v>64100</v>
      </c>
      <c r="C274" t="s">
        <v>302</v>
      </c>
      <c r="D274">
        <v>641050</v>
      </c>
      <c r="E274" t="s">
        <v>415</v>
      </c>
      <c r="F274" t="s">
        <v>416</v>
      </c>
      <c r="G274" t="s">
        <v>396</v>
      </c>
    </row>
    <row r="275" spans="1:7" x14ac:dyDescent="0.25">
      <c r="A275" t="s">
        <v>397</v>
      </c>
      <c r="B275">
        <v>64100</v>
      </c>
      <c r="C275" t="s">
        <v>302</v>
      </c>
      <c r="D275">
        <v>641050</v>
      </c>
      <c r="E275" t="s">
        <v>415</v>
      </c>
      <c r="F275" t="s">
        <v>416</v>
      </c>
      <c r="G275" t="s">
        <v>398</v>
      </c>
    </row>
    <row r="276" spans="1:7" x14ac:dyDescent="0.25">
      <c r="A276" t="s">
        <v>79</v>
      </c>
      <c r="B276">
        <v>64100</v>
      </c>
      <c r="C276" t="s">
        <v>303</v>
      </c>
      <c r="D276">
        <v>641060</v>
      </c>
      <c r="E276" t="s">
        <v>415</v>
      </c>
      <c r="F276" t="s">
        <v>416</v>
      </c>
      <c r="G276" t="s">
        <v>396</v>
      </c>
    </row>
    <row r="277" spans="1:7" x14ac:dyDescent="0.25">
      <c r="A277" t="s">
        <v>397</v>
      </c>
      <c r="B277">
        <v>64100</v>
      </c>
      <c r="C277" t="s">
        <v>303</v>
      </c>
      <c r="D277">
        <v>641060</v>
      </c>
      <c r="E277" t="s">
        <v>415</v>
      </c>
      <c r="F277" t="s">
        <v>416</v>
      </c>
      <c r="G277" t="s">
        <v>398</v>
      </c>
    </row>
    <row r="278" spans="1:7" x14ac:dyDescent="0.25">
      <c r="A278" t="s">
        <v>405</v>
      </c>
      <c r="B278">
        <v>64120</v>
      </c>
      <c r="C278" t="s">
        <v>299</v>
      </c>
      <c r="D278">
        <v>641200</v>
      </c>
      <c r="E278" t="s">
        <v>417</v>
      </c>
      <c r="F278" t="s">
        <v>416</v>
      </c>
      <c r="G278" t="s">
        <v>407</v>
      </c>
    </row>
    <row r="279" spans="1:7" x14ac:dyDescent="0.25">
      <c r="A279" t="s">
        <v>408</v>
      </c>
      <c r="B279">
        <v>64120</v>
      </c>
      <c r="C279" t="s">
        <v>299</v>
      </c>
      <c r="D279">
        <v>641200</v>
      </c>
      <c r="E279" t="s">
        <v>417</v>
      </c>
      <c r="F279" t="s">
        <v>416</v>
      </c>
      <c r="G279" t="s">
        <v>409</v>
      </c>
    </row>
    <row r="280" spans="1:7" x14ac:dyDescent="0.25">
      <c r="A280" t="s">
        <v>405</v>
      </c>
      <c r="B280">
        <v>64120</v>
      </c>
      <c r="C280" t="s">
        <v>399</v>
      </c>
      <c r="D280">
        <v>641220</v>
      </c>
      <c r="E280" t="s">
        <v>417</v>
      </c>
      <c r="F280" t="s">
        <v>416</v>
      </c>
      <c r="G280" t="s">
        <v>407</v>
      </c>
    </row>
    <row r="281" spans="1:7" x14ac:dyDescent="0.25">
      <c r="A281" t="s">
        <v>408</v>
      </c>
      <c r="B281">
        <v>64120</v>
      </c>
      <c r="C281" t="s">
        <v>399</v>
      </c>
      <c r="D281">
        <v>641220</v>
      </c>
      <c r="E281" t="s">
        <v>417</v>
      </c>
      <c r="F281" t="s">
        <v>416</v>
      </c>
      <c r="G281" t="s">
        <v>409</v>
      </c>
    </row>
    <row r="282" spans="1:7" x14ac:dyDescent="0.25">
      <c r="A282" t="s">
        <v>405</v>
      </c>
      <c r="B282">
        <v>64120</v>
      </c>
      <c r="C282" t="s">
        <v>311</v>
      </c>
      <c r="D282">
        <v>641230</v>
      </c>
      <c r="E282" t="s">
        <v>417</v>
      </c>
      <c r="F282" t="s">
        <v>416</v>
      </c>
      <c r="G282" t="s">
        <v>407</v>
      </c>
    </row>
    <row r="283" spans="1:7" x14ac:dyDescent="0.25">
      <c r="A283" t="s">
        <v>408</v>
      </c>
      <c r="B283">
        <v>64120</v>
      </c>
      <c r="C283" t="s">
        <v>311</v>
      </c>
      <c r="D283">
        <v>641230</v>
      </c>
      <c r="E283" t="s">
        <v>417</v>
      </c>
      <c r="F283" t="s">
        <v>416</v>
      </c>
      <c r="G283" t="s">
        <v>409</v>
      </c>
    </row>
    <row r="284" spans="1:7" x14ac:dyDescent="0.25">
      <c r="A284" t="s">
        <v>405</v>
      </c>
      <c r="B284">
        <v>64120</v>
      </c>
      <c r="D284">
        <v>641240</v>
      </c>
      <c r="E284" t="s">
        <v>417</v>
      </c>
      <c r="F284" t="s">
        <v>416</v>
      </c>
      <c r="G284" t="s">
        <v>407</v>
      </c>
    </row>
    <row r="285" spans="1:7" x14ac:dyDescent="0.25">
      <c r="A285" t="s">
        <v>408</v>
      </c>
      <c r="B285">
        <v>64120</v>
      </c>
      <c r="D285">
        <v>641240</v>
      </c>
      <c r="E285" t="s">
        <v>417</v>
      </c>
      <c r="F285" t="s">
        <v>416</v>
      </c>
      <c r="G285" t="s">
        <v>409</v>
      </c>
    </row>
    <row r="286" spans="1:7" x14ac:dyDescent="0.25">
      <c r="A286" t="s">
        <v>405</v>
      </c>
      <c r="B286">
        <v>64120</v>
      </c>
      <c r="D286">
        <v>641250</v>
      </c>
      <c r="E286" t="s">
        <v>417</v>
      </c>
      <c r="F286" t="s">
        <v>416</v>
      </c>
      <c r="G286" t="s">
        <v>407</v>
      </c>
    </row>
    <row r="287" spans="1:7" x14ac:dyDescent="0.25">
      <c r="A287" t="s">
        <v>408</v>
      </c>
      <c r="B287">
        <v>64120</v>
      </c>
      <c r="D287">
        <v>641250</v>
      </c>
      <c r="E287" t="s">
        <v>417</v>
      </c>
      <c r="F287" t="s">
        <v>416</v>
      </c>
      <c r="G287" t="s">
        <v>409</v>
      </c>
    </row>
    <row r="288" spans="1:7" x14ac:dyDescent="0.25">
      <c r="A288" t="s">
        <v>418</v>
      </c>
      <c r="B288">
        <v>64150</v>
      </c>
      <c r="C288" t="s">
        <v>31</v>
      </c>
      <c r="D288">
        <v>641500</v>
      </c>
      <c r="E288" t="s">
        <v>419</v>
      </c>
      <c r="F288" t="s">
        <v>330</v>
      </c>
      <c r="G288" t="s">
        <v>420</v>
      </c>
    </row>
    <row r="289" spans="1:7" x14ac:dyDescent="0.25">
      <c r="A289" t="s">
        <v>421</v>
      </c>
      <c r="B289">
        <v>64150</v>
      </c>
      <c r="C289" t="s">
        <v>31</v>
      </c>
      <c r="D289">
        <v>641500</v>
      </c>
      <c r="E289" t="s">
        <v>419</v>
      </c>
      <c r="F289" t="s">
        <v>330</v>
      </c>
      <c r="G289" t="s">
        <v>422</v>
      </c>
    </row>
    <row r="290" spans="1:7" x14ac:dyDescent="0.25">
      <c r="A290" t="s">
        <v>400</v>
      </c>
      <c r="B290">
        <v>64200</v>
      </c>
      <c r="C290" t="s">
        <v>299</v>
      </c>
      <c r="D290">
        <v>642000</v>
      </c>
      <c r="E290" t="s">
        <v>423</v>
      </c>
      <c r="F290" t="s">
        <v>416</v>
      </c>
      <c r="G290" t="s">
        <v>402</v>
      </c>
    </row>
    <row r="291" spans="1:7" x14ac:dyDescent="0.25">
      <c r="A291" t="s">
        <v>403</v>
      </c>
      <c r="B291">
        <v>64200</v>
      </c>
      <c r="C291" t="s">
        <v>299</v>
      </c>
      <c r="D291">
        <v>642000</v>
      </c>
      <c r="E291" t="s">
        <v>423</v>
      </c>
      <c r="F291" t="s">
        <v>416</v>
      </c>
      <c r="G291" t="s">
        <v>404</v>
      </c>
    </row>
    <row r="292" spans="1:7" x14ac:dyDescent="0.25">
      <c r="A292" t="s">
        <v>400</v>
      </c>
      <c r="B292">
        <v>64200</v>
      </c>
      <c r="C292" t="s">
        <v>299</v>
      </c>
      <c r="D292">
        <v>642001</v>
      </c>
      <c r="E292" t="s">
        <v>423</v>
      </c>
      <c r="F292" t="s">
        <v>416</v>
      </c>
      <c r="G292" t="s">
        <v>402</v>
      </c>
    </row>
    <row r="293" spans="1:7" x14ac:dyDescent="0.25">
      <c r="A293" t="s">
        <v>403</v>
      </c>
      <c r="B293">
        <v>64200</v>
      </c>
      <c r="C293" t="s">
        <v>299</v>
      </c>
      <c r="D293">
        <v>642001</v>
      </c>
      <c r="E293" t="s">
        <v>423</v>
      </c>
      <c r="F293" t="s">
        <v>416</v>
      </c>
      <c r="G293" t="s">
        <v>404</v>
      </c>
    </row>
    <row r="294" spans="1:7" x14ac:dyDescent="0.25">
      <c r="A294" t="s">
        <v>400</v>
      </c>
      <c r="B294">
        <v>64200</v>
      </c>
      <c r="C294" t="s">
        <v>399</v>
      </c>
      <c r="D294">
        <v>642020</v>
      </c>
      <c r="E294" t="s">
        <v>423</v>
      </c>
      <c r="F294" t="s">
        <v>416</v>
      </c>
      <c r="G294" t="s">
        <v>402</v>
      </c>
    </row>
    <row r="295" spans="1:7" x14ac:dyDescent="0.25">
      <c r="A295" t="s">
        <v>403</v>
      </c>
      <c r="B295">
        <v>64200</v>
      </c>
      <c r="C295" t="s">
        <v>399</v>
      </c>
      <c r="D295">
        <v>642020</v>
      </c>
      <c r="E295" t="s">
        <v>423</v>
      </c>
      <c r="F295" t="s">
        <v>416</v>
      </c>
      <c r="G295" t="s">
        <v>404</v>
      </c>
    </row>
    <row r="296" spans="1:7" x14ac:dyDescent="0.25">
      <c r="A296" t="s">
        <v>400</v>
      </c>
      <c r="B296">
        <v>64200</v>
      </c>
      <c r="C296" t="s">
        <v>311</v>
      </c>
      <c r="D296">
        <v>642030</v>
      </c>
      <c r="E296" t="s">
        <v>423</v>
      </c>
      <c r="F296" t="s">
        <v>416</v>
      </c>
      <c r="G296" t="s">
        <v>402</v>
      </c>
    </row>
    <row r="297" spans="1:7" x14ac:dyDescent="0.25">
      <c r="A297" t="s">
        <v>403</v>
      </c>
      <c r="B297">
        <v>64200</v>
      </c>
      <c r="C297" t="s">
        <v>311</v>
      </c>
      <c r="D297">
        <v>642030</v>
      </c>
      <c r="E297" t="s">
        <v>423</v>
      </c>
      <c r="F297" t="s">
        <v>416</v>
      </c>
      <c r="G297" t="s">
        <v>404</v>
      </c>
    </row>
    <row r="298" spans="1:7" x14ac:dyDescent="0.25">
      <c r="A298" t="s">
        <v>400</v>
      </c>
      <c r="B298">
        <v>64200</v>
      </c>
      <c r="D298">
        <v>642040</v>
      </c>
      <c r="E298" t="s">
        <v>423</v>
      </c>
      <c r="F298" t="s">
        <v>416</v>
      </c>
      <c r="G298" t="s">
        <v>402</v>
      </c>
    </row>
    <row r="299" spans="1:7" x14ac:dyDescent="0.25">
      <c r="A299" t="s">
        <v>403</v>
      </c>
      <c r="B299">
        <v>64200</v>
      </c>
      <c r="D299">
        <v>642040</v>
      </c>
      <c r="E299" t="s">
        <v>423</v>
      </c>
      <c r="F299" t="s">
        <v>416</v>
      </c>
      <c r="G299" t="s">
        <v>404</v>
      </c>
    </row>
    <row r="300" spans="1:7" x14ac:dyDescent="0.25">
      <c r="A300" t="s">
        <v>400</v>
      </c>
      <c r="B300">
        <v>64200</v>
      </c>
      <c r="D300">
        <v>642050</v>
      </c>
      <c r="E300" t="s">
        <v>423</v>
      </c>
      <c r="F300" t="s">
        <v>416</v>
      </c>
      <c r="G300" t="s">
        <v>402</v>
      </c>
    </row>
    <row r="301" spans="1:7" x14ac:dyDescent="0.25">
      <c r="A301" t="s">
        <v>403</v>
      </c>
      <c r="B301">
        <v>64200</v>
      </c>
      <c r="D301">
        <v>642050</v>
      </c>
      <c r="E301" t="s">
        <v>423</v>
      </c>
      <c r="F301" t="s">
        <v>416</v>
      </c>
      <c r="G301" t="s">
        <v>404</v>
      </c>
    </row>
    <row r="302" spans="1:7" x14ac:dyDescent="0.25">
      <c r="A302" t="s">
        <v>400</v>
      </c>
      <c r="B302">
        <v>64200</v>
      </c>
      <c r="D302">
        <v>643000</v>
      </c>
      <c r="E302" t="s">
        <v>424</v>
      </c>
      <c r="F302" t="s">
        <v>416</v>
      </c>
      <c r="G302" t="s">
        <v>402</v>
      </c>
    </row>
    <row r="303" spans="1:7" x14ac:dyDescent="0.25">
      <c r="A303" t="s">
        <v>403</v>
      </c>
      <c r="B303">
        <v>64200</v>
      </c>
      <c r="D303">
        <v>643000</v>
      </c>
      <c r="E303" t="s">
        <v>424</v>
      </c>
      <c r="F303" t="s">
        <v>416</v>
      </c>
      <c r="G303" t="s">
        <v>404</v>
      </c>
    </row>
    <row r="304" spans="1:7" x14ac:dyDescent="0.25">
      <c r="A304" t="s">
        <v>425</v>
      </c>
      <c r="B304">
        <v>66100</v>
      </c>
      <c r="C304" t="s">
        <v>356</v>
      </c>
      <c r="D304">
        <v>661000</v>
      </c>
      <c r="E304" t="s">
        <v>426</v>
      </c>
      <c r="F304" t="s">
        <v>427</v>
      </c>
      <c r="G304" t="s">
        <v>428</v>
      </c>
    </row>
    <row r="305" spans="1:7" x14ac:dyDescent="0.25">
      <c r="A305" t="s">
        <v>429</v>
      </c>
      <c r="B305">
        <v>66100</v>
      </c>
      <c r="C305" t="s">
        <v>356</v>
      </c>
      <c r="D305">
        <v>661000</v>
      </c>
      <c r="E305" t="s">
        <v>426</v>
      </c>
      <c r="F305" t="s">
        <v>427</v>
      </c>
      <c r="G305" t="s">
        <v>430</v>
      </c>
    </row>
    <row r="306" spans="1:7" x14ac:dyDescent="0.25">
      <c r="A306" t="s">
        <v>431</v>
      </c>
      <c r="B306">
        <v>66105</v>
      </c>
      <c r="C306" t="s">
        <v>356</v>
      </c>
      <c r="D306">
        <v>661050</v>
      </c>
      <c r="E306" t="s">
        <v>432</v>
      </c>
      <c r="F306" t="s">
        <v>427</v>
      </c>
      <c r="G306" t="s">
        <v>433</v>
      </c>
    </row>
    <row r="307" spans="1:7" x14ac:dyDescent="0.25">
      <c r="A307" t="s">
        <v>434</v>
      </c>
      <c r="B307">
        <v>66105</v>
      </c>
      <c r="C307" t="s">
        <v>356</v>
      </c>
      <c r="D307">
        <v>661050</v>
      </c>
      <c r="E307" t="s">
        <v>432</v>
      </c>
      <c r="F307" t="s">
        <v>427</v>
      </c>
      <c r="G307" t="s">
        <v>435</v>
      </c>
    </row>
    <row r="308" spans="1:7" x14ac:dyDescent="0.25">
      <c r="A308" t="s">
        <v>436</v>
      </c>
      <c r="B308">
        <v>68000</v>
      </c>
      <c r="D308">
        <v>680000</v>
      </c>
      <c r="E308" t="s">
        <v>437</v>
      </c>
      <c r="F308" t="s">
        <v>438</v>
      </c>
      <c r="G308" t="s">
        <v>439</v>
      </c>
    </row>
    <row r="309" spans="1:7" x14ac:dyDescent="0.25">
      <c r="A309" t="s">
        <v>440</v>
      </c>
      <c r="B309">
        <v>68000</v>
      </c>
      <c r="D309">
        <v>680000</v>
      </c>
      <c r="E309" t="s">
        <v>437</v>
      </c>
      <c r="F309" t="s">
        <v>438</v>
      </c>
      <c r="G309" t="s">
        <v>441</v>
      </c>
    </row>
    <row r="310" spans="1:7" x14ac:dyDescent="0.25">
      <c r="A310" t="s">
        <v>442</v>
      </c>
      <c r="B310">
        <v>68100</v>
      </c>
      <c r="D310">
        <v>681000</v>
      </c>
      <c r="E310" t="s">
        <v>443</v>
      </c>
      <c r="F310" t="s">
        <v>438</v>
      </c>
      <c r="G310" t="s">
        <v>444</v>
      </c>
    </row>
    <row r="311" spans="1:7" x14ac:dyDescent="0.25">
      <c r="A311" t="s">
        <v>445</v>
      </c>
      <c r="B311">
        <v>68100</v>
      </c>
      <c r="D311">
        <v>681000</v>
      </c>
      <c r="E311" t="s">
        <v>443</v>
      </c>
      <c r="F311" t="s">
        <v>438</v>
      </c>
      <c r="G311" t="s">
        <v>446</v>
      </c>
    </row>
    <row r="312" spans="1:7" x14ac:dyDescent="0.25">
      <c r="A312" t="s">
        <v>447</v>
      </c>
      <c r="B312">
        <v>68101</v>
      </c>
      <c r="D312">
        <v>681010</v>
      </c>
      <c r="E312" t="s">
        <v>448</v>
      </c>
      <c r="F312" t="s">
        <v>438</v>
      </c>
      <c r="G312" t="s">
        <v>449</v>
      </c>
    </row>
    <row r="313" spans="1:7" x14ac:dyDescent="0.25">
      <c r="A313" t="s">
        <v>450</v>
      </c>
      <c r="B313">
        <v>68101</v>
      </c>
      <c r="D313">
        <v>681010</v>
      </c>
      <c r="E313" t="s">
        <v>448</v>
      </c>
      <c r="F313" t="s">
        <v>438</v>
      </c>
      <c r="G313" t="s">
        <v>451</v>
      </c>
    </row>
    <row r="314" spans="1:7" x14ac:dyDescent="0.25">
      <c r="A314" t="s">
        <v>452</v>
      </c>
      <c r="B314">
        <v>68230</v>
      </c>
      <c r="D314">
        <v>682300</v>
      </c>
      <c r="E314" t="s">
        <v>453</v>
      </c>
      <c r="F314" t="s">
        <v>438</v>
      </c>
      <c r="G314" t="s">
        <v>454</v>
      </c>
    </row>
    <row r="315" spans="1:7" x14ac:dyDescent="0.25">
      <c r="A315" t="s">
        <v>455</v>
      </c>
      <c r="B315">
        <v>68230</v>
      </c>
      <c r="D315">
        <v>682300</v>
      </c>
      <c r="E315" t="s">
        <v>453</v>
      </c>
      <c r="F315" t="s">
        <v>438</v>
      </c>
      <c r="G315" t="s">
        <v>456</v>
      </c>
    </row>
    <row r="316" spans="1:7" x14ac:dyDescent="0.25">
      <c r="A316" t="s">
        <v>457</v>
      </c>
      <c r="B316">
        <v>68232</v>
      </c>
      <c r="D316">
        <v>682320</v>
      </c>
      <c r="E316" t="s">
        <v>458</v>
      </c>
      <c r="F316" t="s">
        <v>438</v>
      </c>
      <c r="G316" t="s">
        <v>459</v>
      </c>
    </row>
    <row r="317" spans="1:7" x14ac:dyDescent="0.25">
      <c r="A317" t="s">
        <v>460</v>
      </c>
      <c r="B317">
        <v>68232</v>
      </c>
      <c r="D317">
        <v>682320</v>
      </c>
      <c r="E317" t="s">
        <v>458</v>
      </c>
      <c r="F317" t="s">
        <v>438</v>
      </c>
      <c r="G317" t="s">
        <v>461</v>
      </c>
    </row>
    <row r="318" spans="1:7" x14ac:dyDescent="0.25">
      <c r="A318" t="s">
        <v>462</v>
      </c>
      <c r="B318">
        <v>69000</v>
      </c>
      <c r="D318">
        <v>690000</v>
      </c>
      <c r="E318" t="s">
        <v>463</v>
      </c>
      <c r="F318" t="s">
        <v>464</v>
      </c>
      <c r="G318" t="s">
        <v>465</v>
      </c>
    </row>
    <row r="319" spans="1:7" x14ac:dyDescent="0.25">
      <c r="A319" t="s">
        <v>466</v>
      </c>
      <c r="B319">
        <v>69000</v>
      </c>
      <c r="D319">
        <v>690000</v>
      </c>
      <c r="E319" t="s">
        <v>463</v>
      </c>
      <c r="F319" t="s">
        <v>464</v>
      </c>
      <c r="G319" t="s">
        <v>467</v>
      </c>
    </row>
    <row r="320" spans="1:7" x14ac:dyDescent="0.25">
      <c r="A320" t="s">
        <v>468</v>
      </c>
      <c r="B320">
        <v>69010</v>
      </c>
      <c r="D320">
        <v>690100</v>
      </c>
      <c r="E320" t="s">
        <v>469</v>
      </c>
      <c r="F320" t="s">
        <v>464</v>
      </c>
      <c r="G320" t="s">
        <v>470</v>
      </c>
    </row>
    <row r="321" spans="1:7" x14ac:dyDescent="0.25">
      <c r="A321" t="s">
        <v>471</v>
      </c>
      <c r="B321">
        <v>69010</v>
      </c>
      <c r="D321">
        <v>690100</v>
      </c>
      <c r="E321" t="s">
        <v>469</v>
      </c>
      <c r="F321" t="s">
        <v>464</v>
      </c>
      <c r="G321" t="s">
        <v>472</v>
      </c>
    </row>
    <row r="322" spans="1:7" x14ac:dyDescent="0.25">
      <c r="A322" t="s">
        <v>468</v>
      </c>
      <c r="B322">
        <v>69010</v>
      </c>
      <c r="D322">
        <v>690101</v>
      </c>
      <c r="E322" t="s">
        <v>473</v>
      </c>
      <c r="F322" t="s">
        <v>464</v>
      </c>
      <c r="G322" t="s">
        <v>470</v>
      </c>
    </row>
    <row r="323" spans="1:7" x14ac:dyDescent="0.25">
      <c r="A323" t="s">
        <v>471</v>
      </c>
      <c r="B323">
        <v>69010</v>
      </c>
      <c r="D323">
        <v>690101</v>
      </c>
      <c r="E323" t="s">
        <v>473</v>
      </c>
      <c r="F323" t="s">
        <v>464</v>
      </c>
      <c r="G323" t="s">
        <v>472</v>
      </c>
    </row>
    <row r="324" spans="1:7" x14ac:dyDescent="0.25">
      <c r="A324" t="s">
        <v>468</v>
      </c>
      <c r="B324">
        <v>69010</v>
      </c>
      <c r="D324">
        <v>690102</v>
      </c>
      <c r="E324" t="s">
        <v>469</v>
      </c>
      <c r="F324" t="s">
        <v>464</v>
      </c>
      <c r="G324" t="s">
        <v>470</v>
      </c>
    </row>
    <row r="325" spans="1:7" x14ac:dyDescent="0.25">
      <c r="A325" t="s">
        <v>471</v>
      </c>
      <c r="B325">
        <v>69010</v>
      </c>
      <c r="D325">
        <v>690102</v>
      </c>
      <c r="E325" t="s">
        <v>469</v>
      </c>
      <c r="F325" t="s">
        <v>464</v>
      </c>
      <c r="G325" t="s">
        <v>472</v>
      </c>
    </row>
    <row r="326" spans="1:7" x14ac:dyDescent="0.25">
      <c r="A326" t="s">
        <v>468</v>
      </c>
      <c r="B326">
        <v>69010</v>
      </c>
      <c r="D326">
        <v>690103</v>
      </c>
      <c r="E326" t="s">
        <v>469</v>
      </c>
      <c r="F326" t="s">
        <v>464</v>
      </c>
      <c r="G326" t="s">
        <v>470</v>
      </c>
    </row>
    <row r="327" spans="1:7" x14ac:dyDescent="0.25">
      <c r="A327" t="s">
        <v>471</v>
      </c>
      <c r="B327">
        <v>69010</v>
      </c>
      <c r="D327">
        <v>690103</v>
      </c>
      <c r="E327" t="s">
        <v>469</v>
      </c>
      <c r="F327" t="s">
        <v>464</v>
      </c>
      <c r="G327" t="s">
        <v>472</v>
      </c>
    </row>
    <row r="328" spans="1:7" x14ac:dyDescent="0.25">
      <c r="A328" t="s">
        <v>468</v>
      </c>
      <c r="B328">
        <v>69010</v>
      </c>
      <c r="D328">
        <v>690104</v>
      </c>
      <c r="E328" t="s">
        <v>469</v>
      </c>
      <c r="F328" t="s">
        <v>464</v>
      </c>
      <c r="G328" t="s">
        <v>470</v>
      </c>
    </row>
    <row r="329" spans="1:7" x14ac:dyDescent="0.25">
      <c r="A329" t="s">
        <v>471</v>
      </c>
      <c r="B329">
        <v>69010</v>
      </c>
      <c r="D329">
        <v>690104</v>
      </c>
      <c r="E329" t="s">
        <v>469</v>
      </c>
      <c r="F329" t="s">
        <v>464</v>
      </c>
      <c r="G329" t="s">
        <v>472</v>
      </c>
    </row>
    <row r="330" spans="1:7" x14ac:dyDescent="0.25">
      <c r="A330" t="s">
        <v>474</v>
      </c>
      <c r="B330">
        <v>69020</v>
      </c>
      <c r="D330">
        <v>690200</v>
      </c>
      <c r="E330" t="s">
        <v>475</v>
      </c>
      <c r="F330" t="s">
        <v>464</v>
      </c>
      <c r="G330" t="s">
        <v>476</v>
      </c>
    </row>
    <row r="331" spans="1:7" x14ac:dyDescent="0.25">
      <c r="A331" t="s">
        <v>477</v>
      </c>
      <c r="B331">
        <v>69020</v>
      </c>
      <c r="D331">
        <v>690200</v>
      </c>
      <c r="E331" t="s">
        <v>475</v>
      </c>
      <c r="F331" t="s">
        <v>464</v>
      </c>
      <c r="G331" t="s">
        <v>478</v>
      </c>
    </row>
    <row r="332" spans="1:7" x14ac:dyDescent="0.25">
      <c r="A332" t="s">
        <v>479</v>
      </c>
      <c r="B332">
        <v>69030</v>
      </c>
      <c r="D332">
        <v>690300</v>
      </c>
      <c r="E332" t="s">
        <v>480</v>
      </c>
      <c r="F332" t="s">
        <v>464</v>
      </c>
      <c r="G332" t="s">
        <v>481</v>
      </c>
    </row>
    <row r="333" spans="1:7" x14ac:dyDescent="0.25">
      <c r="A333" t="s">
        <v>482</v>
      </c>
      <c r="B333">
        <v>69030</v>
      </c>
      <c r="D333">
        <v>690300</v>
      </c>
      <c r="E333" t="s">
        <v>480</v>
      </c>
      <c r="F333" t="s">
        <v>464</v>
      </c>
      <c r="G333" t="s">
        <v>483</v>
      </c>
    </row>
    <row r="334" spans="1:7" x14ac:dyDescent="0.25">
      <c r="A334" t="s">
        <v>484</v>
      </c>
      <c r="B334">
        <v>69040</v>
      </c>
      <c r="D334">
        <v>690400</v>
      </c>
      <c r="E334" t="s">
        <v>485</v>
      </c>
      <c r="F334" t="s">
        <v>464</v>
      </c>
      <c r="G334" t="s">
        <v>486</v>
      </c>
    </row>
    <row r="335" spans="1:7" x14ac:dyDescent="0.25">
      <c r="A335" t="s">
        <v>487</v>
      </c>
      <c r="B335">
        <v>69040</v>
      </c>
      <c r="D335">
        <v>690400</v>
      </c>
      <c r="E335" t="s">
        <v>485</v>
      </c>
      <c r="F335" t="s">
        <v>464</v>
      </c>
      <c r="G335" t="s">
        <v>488</v>
      </c>
    </row>
    <row r="336" spans="1:7" x14ac:dyDescent="0.25">
      <c r="A336" t="s">
        <v>489</v>
      </c>
      <c r="B336">
        <v>69050</v>
      </c>
      <c r="D336">
        <v>690500</v>
      </c>
      <c r="E336" t="s">
        <v>490</v>
      </c>
      <c r="F336" t="s">
        <v>464</v>
      </c>
      <c r="G336" t="s">
        <v>491</v>
      </c>
    </row>
    <row r="337" spans="1:7" x14ac:dyDescent="0.25">
      <c r="A337" t="s">
        <v>492</v>
      </c>
      <c r="B337">
        <v>69050</v>
      </c>
      <c r="D337">
        <v>690500</v>
      </c>
      <c r="E337" t="s">
        <v>490</v>
      </c>
      <c r="F337" t="s">
        <v>464</v>
      </c>
      <c r="G337" t="s">
        <v>493</v>
      </c>
    </row>
    <row r="338" spans="1:7" x14ac:dyDescent="0.25">
      <c r="A338" t="s">
        <v>494</v>
      </c>
      <c r="B338">
        <v>69400</v>
      </c>
      <c r="D338">
        <v>694000</v>
      </c>
      <c r="E338" t="s">
        <v>495</v>
      </c>
      <c r="F338" t="s">
        <v>464</v>
      </c>
      <c r="G338" t="s">
        <v>496</v>
      </c>
    </row>
    <row r="339" spans="1:7" x14ac:dyDescent="0.25">
      <c r="A339" t="s">
        <v>497</v>
      </c>
      <c r="B339">
        <v>69400</v>
      </c>
      <c r="D339">
        <v>694000</v>
      </c>
      <c r="E339" t="s">
        <v>495</v>
      </c>
      <c r="F339" t="s">
        <v>464</v>
      </c>
      <c r="G339" t="s">
        <v>498</v>
      </c>
    </row>
    <row r="340" spans="1:7" x14ac:dyDescent="0.25">
      <c r="A340" t="s">
        <v>499</v>
      </c>
      <c r="B340">
        <v>69401</v>
      </c>
      <c r="D340">
        <v>694010</v>
      </c>
      <c r="E340" t="s">
        <v>500</v>
      </c>
      <c r="F340" t="s">
        <v>464</v>
      </c>
      <c r="G340" t="s">
        <v>501</v>
      </c>
    </row>
    <row r="341" spans="1:7" x14ac:dyDescent="0.25">
      <c r="A341" t="s">
        <v>502</v>
      </c>
      <c r="B341">
        <v>69401</v>
      </c>
      <c r="D341">
        <v>694010</v>
      </c>
      <c r="E341" t="s">
        <v>500</v>
      </c>
      <c r="F341" t="s">
        <v>464</v>
      </c>
      <c r="G341" t="s">
        <v>503</v>
      </c>
    </row>
    <row r="342" spans="1:7" x14ac:dyDescent="0.25">
      <c r="A342" t="s">
        <v>504</v>
      </c>
      <c r="B342">
        <v>69500</v>
      </c>
      <c r="D342">
        <v>695000</v>
      </c>
      <c r="E342" t="s">
        <v>505</v>
      </c>
      <c r="F342" t="s">
        <v>464</v>
      </c>
      <c r="G342" t="s">
        <v>506</v>
      </c>
    </row>
    <row r="343" spans="1:7" x14ac:dyDescent="0.25">
      <c r="A343" t="s">
        <v>507</v>
      </c>
      <c r="B343">
        <v>69500</v>
      </c>
      <c r="D343">
        <v>695000</v>
      </c>
      <c r="E343" t="s">
        <v>505</v>
      </c>
      <c r="F343" t="s">
        <v>464</v>
      </c>
      <c r="G343" t="s">
        <v>508</v>
      </c>
    </row>
    <row r="344" spans="1:7" x14ac:dyDescent="0.25">
      <c r="A344" t="s">
        <v>509</v>
      </c>
      <c r="B344">
        <v>69505</v>
      </c>
      <c r="D344">
        <v>695050</v>
      </c>
      <c r="E344" t="s">
        <v>510</v>
      </c>
      <c r="F344" t="s">
        <v>464</v>
      </c>
      <c r="G344" t="s">
        <v>511</v>
      </c>
    </row>
    <row r="345" spans="1:7" x14ac:dyDescent="0.25">
      <c r="A345" t="s">
        <v>512</v>
      </c>
      <c r="B345">
        <v>69505</v>
      </c>
      <c r="D345">
        <v>695050</v>
      </c>
      <c r="E345" t="s">
        <v>510</v>
      </c>
      <c r="F345" t="s">
        <v>464</v>
      </c>
      <c r="G345" t="s">
        <v>513</v>
      </c>
    </row>
    <row r="346" spans="1:7" x14ac:dyDescent="0.25">
      <c r="A346" t="s">
        <v>514</v>
      </c>
      <c r="B346">
        <v>69510</v>
      </c>
      <c r="D346">
        <v>695100</v>
      </c>
      <c r="E346" t="s">
        <v>515</v>
      </c>
      <c r="F346" t="s">
        <v>464</v>
      </c>
      <c r="G346" t="s">
        <v>516</v>
      </c>
    </row>
    <row r="347" spans="1:7" x14ac:dyDescent="0.25">
      <c r="A347" t="s">
        <v>517</v>
      </c>
      <c r="B347">
        <v>69510</v>
      </c>
      <c r="D347">
        <v>695100</v>
      </c>
      <c r="E347" t="s">
        <v>515</v>
      </c>
      <c r="F347" t="s">
        <v>464</v>
      </c>
      <c r="G347" t="s">
        <v>518</v>
      </c>
    </row>
    <row r="348" spans="1:7" x14ac:dyDescent="0.25">
      <c r="A348" t="s">
        <v>519</v>
      </c>
      <c r="B348">
        <v>69515</v>
      </c>
      <c r="D348">
        <v>695150</v>
      </c>
      <c r="E348" t="s">
        <v>520</v>
      </c>
      <c r="F348" t="s">
        <v>464</v>
      </c>
      <c r="G348" t="s">
        <v>521</v>
      </c>
    </row>
    <row r="349" spans="1:7" x14ac:dyDescent="0.25">
      <c r="A349" t="s">
        <v>522</v>
      </c>
      <c r="B349">
        <v>69515</v>
      </c>
      <c r="D349">
        <v>695150</v>
      </c>
      <c r="E349" t="s">
        <v>520</v>
      </c>
      <c r="F349" t="s">
        <v>464</v>
      </c>
      <c r="G349" t="s">
        <v>523</v>
      </c>
    </row>
    <row r="350" spans="1:7" x14ac:dyDescent="0.25">
      <c r="A350" t="s">
        <v>524</v>
      </c>
      <c r="B350">
        <v>69520</v>
      </c>
      <c r="D350">
        <v>695200</v>
      </c>
      <c r="E350" t="s">
        <v>525</v>
      </c>
      <c r="F350" t="s">
        <v>464</v>
      </c>
      <c r="G350" t="s">
        <v>526</v>
      </c>
    </row>
    <row r="351" spans="1:7" x14ac:dyDescent="0.25">
      <c r="A351" t="s">
        <v>527</v>
      </c>
      <c r="B351">
        <v>69520</v>
      </c>
      <c r="D351">
        <v>695200</v>
      </c>
      <c r="E351" t="s">
        <v>525</v>
      </c>
      <c r="F351" t="s">
        <v>464</v>
      </c>
      <c r="G351" t="s">
        <v>528</v>
      </c>
    </row>
    <row r="352" spans="1:7" x14ac:dyDescent="0.25">
      <c r="A352" t="s">
        <v>529</v>
      </c>
      <c r="B352">
        <v>69525</v>
      </c>
      <c r="D352">
        <v>695250</v>
      </c>
      <c r="E352" t="s">
        <v>530</v>
      </c>
      <c r="F352" t="s">
        <v>464</v>
      </c>
      <c r="G352" t="s">
        <v>531</v>
      </c>
    </row>
    <row r="353" spans="1:7" x14ac:dyDescent="0.25">
      <c r="A353" t="s">
        <v>532</v>
      </c>
      <c r="B353">
        <v>69525</v>
      </c>
      <c r="D353">
        <v>695250</v>
      </c>
      <c r="E353" t="s">
        <v>530</v>
      </c>
      <c r="F353" t="s">
        <v>464</v>
      </c>
      <c r="G353" t="s">
        <v>533</v>
      </c>
    </row>
    <row r="354" spans="1:7" x14ac:dyDescent="0.25">
      <c r="A354" t="s">
        <v>534</v>
      </c>
      <c r="B354">
        <v>69530</v>
      </c>
      <c r="D354">
        <v>695300</v>
      </c>
      <c r="E354" t="s">
        <v>535</v>
      </c>
      <c r="F354" t="s">
        <v>464</v>
      </c>
      <c r="G354" t="s">
        <v>536</v>
      </c>
    </row>
    <row r="355" spans="1:7" x14ac:dyDescent="0.25">
      <c r="A355" t="s">
        <v>537</v>
      </c>
      <c r="B355">
        <v>69530</v>
      </c>
      <c r="D355">
        <v>695300</v>
      </c>
      <c r="E355" t="s">
        <v>535</v>
      </c>
      <c r="F355" t="s">
        <v>464</v>
      </c>
      <c r="G355" t="s">
        <v>538</v>
      </c>
    </row>
    <row r="356" spans="1:7" x14ac:dyDescent="0.25">
      <c r="A356" t="s">
        <v>539</v>
      </c>
      <c r="B356">
        <v>71000</v>
      </c>
      <c r="D356">
        <v>710000</v>
      </c>
      <c r="E356" t="s">
        <v>540</v>
      </c>
      <c r="F356" t="s">
        <v>541</v>
      </c>
      <c r="G356" t="s">
        <v>542</v>
      </c>
    </row>
    <row r="357" spans="1:7" x14ac:dyDescent="0.25">
      <c r="A357" t="s">
        <v>543</v>
      </c>
      <c r="B357">
        <v>71000</v>
      </c>
      <c r="D357">
        <v>710000</v>
      </c>
      <c r="E357" t="s">
        <v>540</v>
      </c>
      <c r="F357" t="s">
        <v>541</v>
      </c>
      <c r="G357" t="s">
        <v>544</v>
      </c>
    </row>
    <row r="358" spans="1:7" x14ac:dyDescent="0.25">
      <c r="A358" t="s">
        <v>545</v>
      </c>
      <c r="B358">
        <v>71100</v>
      </c>
      <c r="D358">
        <v>711000</v>
      </c>
      <c r="E358" t="s">
        <v>546</v>
      </c>
      <c r="F358" t="s">
        <v>541</v>
      </c>
      <c r="G358" t="s">
        <v>547</v>
      </c>
    </row>
    <row r="359" spans="1:7" x14ac:dyDescent="0.25">
      <c r="A359" t="s">
        <v>548</v>
      </c>
      <c r="B359">
        <v>71100</v>
      </c>
      <c r="D359">
        <v>711000</v>
      </c>
      <c r="E359" t="s">
        <v>546</v>
      </c>
      <c r="F359" t="s">
        <v>541</v>
      </c>
      <c r="G359" t="s">
        <v>549</v>
      </c>
    </row>
    <row r="360" spans="1:7" x14ac:dyDescent="0.25">
      <c r="A360" t="s">
        <v>550</v>
      </c>
      <c r="B360">
        <v>71150</v>
      </c>
      <c r="D360">
        <v>711500</v>
      </c>
      <c r="E360" t="s">
        <v>551</v>
      </c>
      <c r="F360" t="s">
        <v>541</v>
      </c>
      <c r="G360" t="s">
        <v>552</v>
      </c>
    </row>
    <row r="361" spans="1:7" x14ac:dyDescent="0.25">
      <c r="A361" t="s">
        <v>553</v>
      </c>
      <c r="B361">
        <v>71150</v>
      </c>
      <c r="D361">
        <v>711500</v>
      </c>
      <c r="E361" t="s">
        <v>551</v>
      </c>
      <c r="F361" t="s">
        <v>541</v>
      </c>
      <c r="G361" t="s">
        <v>554</v>
      </c>
    </row>
    <row r="362" spans="1:7" x14ac:dyDescent="0.25">
      <c r="A362" t="s">
        <v>81</v>
      </c>
      <c r="B362">
        <v>73000</v>
      </c>
      <c r="D362">
        <v>730000</v>
      </c>
      <c r="E362" t="s">
        <v>555</v>
      </c>
      <c r="F362" t="s">
        <v>556</v>
      </c>
      <c r="G362" t="s">
        <v>557</v>
      </c>
    </row>
    <row r="363" spans="1:7" x14ac:dyDescent="0.25">
      <c r="A363" t="s">
        <v>558</v>
      </c>
      <c r="B363">
        <v>73000</v>
      </c>
      <c r="D363">
        <v>730000</v>
      </c>
      <c r="E363" t="s">
        <v>555</v>
      </c>
      <c r="F363" t="s">
        <v>556</v>
      </c>
      <c r="G363" t="s">
        <v>559</v>
      </c>
    </row>
    <row r="364" spans="1:7" x14ac:dyDescent="0.25">
      <c r="A364" t="s">
        <v>560</v>
      </c>
      <c r="B364">
        <v>73100</v>
      </c>
      <c r="D364">
        <v>731000</v>
      </c>
      <c r="E364" t="s">
        <v>561</v>
      </c>
      <c r="F364" t="s">
        <v>556</v>
      </c>
      <c r="G364" t="s">
        <v>562</v>
      </c>
    </row>
    <row r="365" spans="1:7" x14ac:dyDescent="0.25">
      <c r="A365" t="s">
        <v>563</v>
      </c>
      <c r="B365">
        <v>73100</v>
      </c>
      <c r="D365">
        <v>731000</v>
      </c>
      <c r="E365" t="s">
        <v>561</v>
      </c>
      <c r="F365" t="s">
        <v>556</v>
      </c>
      <c r="G365" t="s">
        <v>564</v>
      </c>
    </row>
    <row r="366" spans="1:7" x14ac:dyDescent="0.25">
      <c r="A366" t="s">
        <v>565</v>
      </c>
      <c r="B366">
        <v>73300</v>
      </c>
      <c r="D366">
        <v>733000</v>
      </c>
      <c r="E366" t="s">
        <v>566</v>
      </c>
      <c r="F366" t="s">
        <v>556</v>
      </c>
      <c r="G366" t="s">
        <v>567</v>
      </c>
    </row>
    <row r="367" spans="1:7" x14ac:dyDescent="0.25">
      <c r="A367" t="s">
        <v>568</v>
      </c>
      <c r="B367">
        <v>73300</v>
      </c>
      <c r="D367">
        <v>733000</v>
      </c>
      <c r="E367" t="s">
        <v>566</v>
      </c>
      <c r="F367" t="s">
        <v>556</v>
      </c>
      <c r="G367" t="s">
        <v>569</v>
      </c>
    </row>
    <row r="368" spans="1:7" x14ac:dyDescent="0.25">
      <c r="A368" t="s">
        <v>83</v>
      </c>
      <c r="B368">
        <v>73400</v>
      </c>
      <c r="D368">
        <v>734000</v>
      </c>
      <c r="E368" t="s">
        <v>570</v>
      </c>
      <c r="F368" t="s">
        <v>556</v>
      </c>
      <c r="G368" t="s">
        <v>571</v>
      </c>
    </row>
    <row r="369" spans="1:7" x14ac:dyDescent="0.25">
      <c r="A369" t="s">
        <v>572</v>
      </c>
      <c r="B369">
        <v>73400</v>
      </c>
      <c r="D369">
        <v>734000</v>
      </c>
      <c r="E369" t="s">
        <v>570</v>
      </c>
      <c r="F369" t="s">
        <v>556</v>
      </c>
      <c r="G369" t="s">
        <v>573</v>
      </c>
    </row>
    <row r="370" spans="1:7" x14ac:dyDescent="0.25">
      <c r="A370" t="s">
        <v>85</v>
      </c>
      <c r="B370">
        <v>73500</v>
      </c>
      <c r="D370">
        <v>735000</v>
      </c>
      <c r="E370" t="s">
        <v>574</v>
      </c>
      <c r="F370" t="s">
        <v>556</v>
      </c>
      <c r="G370" t="s">
        <v>575</v>
      </c>
    </row>
    <row r="371" spans="1:7" x14ac:dyDescent="0.25">
      <c r="A371" t="s">
        <v>576</v>
      </c>
      <c r="B371">
        <v>73500</v>
      </c>
      <c r="D371">
        <v>735000</v>
      </c>
      <c r="E371" t="s">
        <v>574</v>
      </c>
      <c r="F371" t="s">
        <v>556</v>
      </c>
      <c r="G371" t="s">
        <v>577</v>
      </c>
    </row>
    <row r="372" spans="1:7" x14ac:dyDescent="0.25">
      <c r="A372" t="s">
        <v>578</v>
      </c>
      <c r="B372">
        <v>73510</v>
      </c>
      <c r="D372">
        <v>735100</v>
      </c>
      <c r="E372" t="s">
        <v>579</v>
      </c>
      <c r="F372" t="s">
        <v>556</v>
      </c>
      <c r="G372" t="s">
        <v>580</v>
      </c>
    </row>
    <row r="373" spans="1:7" x14ac:dyDescent="0.25">
      <c r="A373" t="s">
        <v>581</v>
      </c>
      <c r="B373">
        <v>73510</v>
      </c>
      <c r="D373">
        <v>735100</v>
      </c>
      <c r="E373" t="s">
        <v>579</v>
      </c>
      <c r="F373" t="s">
        <v>556</v>
      </c>
      <c r="G373" t="s">
        <v>582</v>
      </c>
    </row>
    <row r="374" spans="1:7" x14ac:dyDescent="0.25">
      <c r="A374" t="s">
        <v>583</v>
      </c>
      <c r="B374">
        <v>73600</v>
      </c>
      <c r="D374">
        <v>736000</v>
      </c>
      <c r="E374" t="s">
        <v>584</v>
      </c>
      <c r="F374" t="s">
        <v>556</v>
      </c>
      <c r="G374" t="s">
        <v>585</v>
      </c>
    </row>
    <row r="375" spans="1:7" x14ac:dyDescent="0.25">
      <c r="A375" t="s">
        <v>586</v>
      </c>
      <c r="B375">
        <v>73600</v>
      </c>
      <c r="D375">
        <v>736000</v>
      </c>
      <c r="E375" t="s">
        <v>584</v>
      </c>
      <c r="F375" t="s">
        <v>556</v>
      </c>
      <c r="G375" t="s">
        <v>587</v>
      </c>
    </row>
    <row r="376" spans="1:7" x14ac:dyDescent="0.25">
      <c r="A376" t="s">
        <v>583</v>
      </c>
      <c r="B376">
        <v>73600</v>
      </c>
      <c r="D376">
        <v>736001</v>
      </c>
      <c r="E376" t="s">
        <v>588</v>
      </c>
      <c r="F376" t="s">
        <v>556</v>
      </c>
      <c r="G376" t="s">
        <v>585</v>
      </c>
    </row>
    <row r="377" spans="1:7" x14ac:dyDescent="0.25">
      <c r="A377" t="s">
        <v>586</v>
      </c>
      <c r="B377">
        <v>73600</v>
      </c>
      <c r="D377">
        <v>736001</v>
      </c>
      <c r="E377" t="s">
        <v>588</v>
      </c>
      <c r="F377" t="s">
        <v>556</v>
      </c>
      <c r="G377" t="s">
        <v>587</v>
      </c>
    </row>
    <row r="378" spans="1:7" x14ac:dyDescent="0.25">
      <c r="A378" t="s">
        <v>589</v>
      </c>
      <c r="B378">
        <v>73700</v>
      </c>
      <c r="D378">
        <v>737000</v>
      </c>
      <c r="E378" t="s">
        <v>590</v>
      </c>
      <c r="F378" t="s">
        <v>556</v>
      </c>
      <c r="G378" t="s">
        <v>591</v>
      </c>
    </row>
    <row r="379" spans="1:7" x14ac:dyDescent="0.25">
      <c r="A379" t="s">
        <v>592</v>
      </c>
      <c r="B379">
        <v>73700</v>
      </c>
      <c r="D379">
        <v>737000</v>
      </c>
      <c r="E379" t="s">
        <v>590</v>
      </c>
      <c r="F379" t="s">
        <v>556</v>
      </c>
      <c r="G379" t="s">
        <v>593</v>
      </c>
    </row>
    <row r="380" spans="1:7" x14ac:dyDescent="0.25">
      <c r="A380" t="s">
        <v>87</v>
      </c>
      <c r="B380">
        <v>75010</v>
      </c>
      <c r="D380">
        <v>750100</v>
      </c>
      <c r="E380" t="s">
        <v>594</v>
      </c>
      <c r="F380" t="s">
        <v>595</v>
      </c>
      <c r="G380" t="s">
        <v>596</v>
      </c>
    </row>
    <row r="381" spans="1:7" x14ac:dyDescent="0.25">
      <c r="A381" t="s">
        <v>597</v>
      </c>
      <c r="B381">
        <v>75010</v>
      </c>
      <c r="D381">
        <v>750100</v>
      </c>
      <c r="E381" t="s">
        <v>594</v>
      </c>
      <c r="F381" t="s">
        <v>595</v>
      </c>
      <c r="G381" t="s">
        <v>598</v>
      </c>
    </row>
    <row r="382" spans="1:7" x14ac:dyDescent="0.25">
      <c r="A382" t="s">
        <v>89</v>
      </c>
      <c r="B382">
        <v>75020</v>
      </c>
      <c r="D382">
        <v>750200</v>
      </c>
      <c r="E382" t="s">
        <v>599</v>
      </c>
      <c r="F382" t="s">
        <v>595</v>
      </c>
      <c r="G382" t="s">
        <v>600</v>
      </c>
    </row>
    <row r="383" spans="1:7" x14ac:dyDescent="0.25">
      <c r="A383" t="s">
        <v>601</v>
      </c>
      <c r="B383">
        <v>75020</v>
      </c>
      <c r="D383">
        <v>750200</v>
      </c>
      <c r="E383" t="s">
        <v>599</v>
      </c>
      <c r="F383" t="s">
        <v>595</v>
      </c>
      <c r="G383" t="s">
        <v>602</v>
      </c>
    </row>
    <row r="384" spans="1:7" x14ac:dyDescent="0.25">
      <c r="A384" t="s">
        <v>603</v>
      </c>
      <c r="B384">
        <v>75030</v>
      </c>
      <c r="D384">
        <v>750300</v>
      </c>
      <c r="E384" t="s">
        <v>604</v>
      </c>
      <c r="F384" t="s">
        <v>595</v>
      </c>
      <c r="G384" t="s">
        <v>605</v>
      </c>
    </row>
    <row r="385" spans="1:7" x14ac:dyDescent="0.25">
      <c r="A385" t="s">
        <v>606</v>
      </c>
      <c r="B385">
        <v>75030</v>
      </c>
      <c r="D385">
        <v>750300</v>
      </c>
      <c r="E385" t="s">
        <v>604</v>
      </c>
      <c r="F385" t="s">
        <v>595</v>
      </c>
      <c r="G385" t="s">
        <v>607</v>
      </c>
    </row>
    <row r="386" spans="1:7" x14ac:dyDescent="0.25">
      <c r="A386" t="s">
        <v>608</v>
      </c>
      <c r="B386">
        <v>75050</v>
      </c>
      <c r="D386">
        <v>750500</v>
      </c>
      <c r="E386" t="s">
        <v>609</v>
      </c>
      <c r="F386" t="s">
        <v>595</v>
      </c>
      <c r="G386" t="s">
        <v>610</v>
      </c>
    </row>
    <row r="387" spans="1:7" x14ac:dyDescent="0.25">
      <c r="A387" t="s">
        <v>611</v>
      </c>
      <c r="B387">
        <v>75050</v>
      </c>
      <c r="D387">
        <v>750500</v>
      </c>
      <c r="E387" t="s">
        <v>609</v>
      </c>
      <c r="F387" t="s">
        <v>595</v>
      </c>
      <c r="G387" t="s">
        <v>612</v>
      </c>
    </row>
    <row r="388" spans="1:7" x14ac:dyDescent="0.25">
      <c r="A388" t="s">
        <v>613</v>
      </c>
      <c r="B388">
        <v>75100</v>
      </c>
      <c r="D388">
        <v>751000</v>
      </c>
      <c r="E388" t="s">
        <v>614</v>
      </c>
      <c r="F388" t="s">
        <v>595</v>
      </c>
      <c r="G388" t="s">
        <v>615</v>
      </c>
    </row>
    <row r="389" spans="1:7" x14ac:dyDescent="0.25">
      <c r="A389" t="s">
        <v>616</v>
      </c>
      <c r="B389">
        <v>75100</v>
      </c>
      <c r="D389">
        <v>751000</v>
      </c>
      <c r="E389" t="s">
        <v>614</v>
      </c>
      <c r="F389" t="s">
        <v>595</v>
      </c>
      <c r="G389" t="s">
        <v>617</v>
      </c>
    </row>
    <row r="390" spans="1:7" x14ac:dyDescent="0.25">
      <c r="A390" t="s">
        <v>618</v>
      </c>
      <c r="B390">
        <v>75200</v>
      </c>
      <c r="D390">
        <v>752000</v>
      </c>
      <c r="E390" t="s">
        <v>619</v>
      </c>
      <c r="F390" t="s">
        <v>595</v>
      </c>
      <c r="G390" t="s">
        <v>620</v>
      </c>
    </row>
    <row r="391" spans="1:7" x14ac:dyDescent="0.25">
      <c r="A391" t="s">
        <v>621</v>
      </c>
      <c r="B391">
        <v>75200</v>
      </c>
      <c r="D391">
        <v>752000</v>
      </c>
      <c r="E391" t="s">
        <v>619</v>
      </c>
      <c r="F391" t="s">
        <v>595</v>
      </c>
      <c r="G391" t="s">
        <v>622</v>
      </c>
    </row>
    <row r="392" spans="1:7" x14ac:dyDescent="0.25">
      <c r="A392" t="s">
        <v>623</v>
      </c>
      <c r="B392">
        <v>75300</v>
      </c>
      <c r="D392">
        <v>753000</v>
      </c>
      <c r="E392" t="s">
        <v>624</v>
      </c>
      <c r="F392" t="s">
        <v>595</v>
      </c>
      <c r="G392" t="s">
        <v>625</v>
      </c>
    </row>
    <row r="393" spans="1:7" x14ac:dyDescent="0.25">
      <c r="A393" t="s">
        <v>626</v>
      </c>
      <c r="B393">
        <v>75300</v>
      </c>
      <c r="D393">
        <v>753000</v>
      </c>
      <c r="E393" t="s">
        <v>624</v>
      </c>
      <c r="F393" t="s">
        <v>595</v>
      </c>
      <c r="G393" t="s">
        <v>627</v>
      </c>
    </row>
    <row r="394" spans="1:7" x14ac:dyDescent="0.25">
      <c r="A394" t="s">
        <v>628</v>
      </c>
      <c r="B394">
        <v>75400</v>
      </c>
      <c r="D394">
        <v>754000</v>
      </c>
      <c r="E394" t="s">
        <v>629</v>
      </c>
      <c r="F394" t="s">
        <v>595</v>
      </c>
      <c r="G394" t="s">
        <v>630</v>
      </c>
    </row>
    <row r="395" spans="1:7" x14ac:dyDescent="0.25">
      <c r="A395" t="s">
        <v>631</v>
      </c>
      <c r="B395">
        <v>75400</v>
      </c>
      <c r="D395">
        <v>754000</v>
      </c>
      <c r="E395" t="s">
        <v>629</v>
      </c>
      <c r="F395" t="s">
        <v>595</v>
      </c>
      <c r="G395" t="s">
        <v>632</v>
      </c>
    </row>
    <row r="396" spans="1:7" x14ac:dyDescent="0.25">
      <c r="A396" t="s">
        <v>93</v>
      </c>
      <c r="B396">
        <v>75500</v>
      </c>
      <c r="D396">
        <v>755000</v>
      </c>
      <c r="E396" t="s">
        <v>633</v>
      </c>
      <c r="F396" t="s">
        <v>595</v>
      </c>
      <c r="G396" t="s">
        <v>634</v>
      </c>
    </row>
    <row r="397" spans="1:7" x14ac:dyDescent="0.25">
      <c r="A397" t="s">
        <v>91</v>
      </c>
      <c r="B397">
        <v>75500</v>
      </c>
      <c r="D397">
        <v>755000</v>
      </c>
      <c r="E397" t="s">
        <v>633</v>
      </c>
      <c r="F397" t="s">
        <v>595</v>
      </c>
      <c r="G397" t="s">
        <v>635</v>
      </c>
    </row>
    <row r="398" spans="1:7" x14ac:dyDescent="0.25">
      <c r="A398" t="s">
        <v>636</v>
      </c>
      <c r="B398">
        <v>75600</v>
      </c>
      <c r="D398">
        <v>756000</v>
      </c>
      <c r="E398" t="s">
        <v>637</v>
      </c>
      <c r="F398" t="s">
        <v>595</v>
      </c>
      <c r="G398" t="s">
        <v>638</v>
      </c>
    </row>
    <row r="399" spans="1:7" x14ac:dyDescent="0.25">
      <c r="A399" t="s">
        <v>639</v>
      </c>
      <c r="B399">
        <v>75600</v>
      </c>
      <c r="D399">
        <v>756000</v>
      </c>
      <c r="E399" t="s">
        <v>637</v>
      </c>
      <c r="F399" t="s">
        <v>595</v>
      </c>
      <c r="G399" t="s">
        <v>640</v>
      </c>
    </row>
    <row r="400" spans="1:7" x14ac:dyDescent="0.25">
      <c r="A400" t="s">
        <v>95</v>
      </c>
      <c r="B400">
        <v>77000</v>
      </c>
      <c r="D400">
        <v>770000</v>
      </c>
      <c r="E400" t="s">
        <v>641</v>
      </c>
      <c r="F400" t="s">
        <v>642</v>
      </c>
      <c r="G400" t="s">
        <v>643</v>
      </c>
    </row>
    <row r="401" spans="1:7" x14ac:dyDescent="0.25">
      <c r="A401" t="s">
        <v>644</v>
      </c>
      <c r="B401">
        <v>77000</v>
      </c>
      <c r="D401">
        <v>770000</v>
      </c>
      <c r="E401" t="s">
        <v>641</v>
      </c>
      <c r="F401" t="s">
        <v>642</v>
      </c>
      <c r="G401" t="s">
        <v>645</v>
      </c>
    </row>
    <row r="402" spans="1:7" x14ac:dyDescent="0.25">
      <c r="A402" t="s">
        <v>95</v>
      </c>
      <c r="B402">
        <v>77000</v>
      </c>
      <c r="D402">
        <v>770010</v>
      </c>
      <c r="E402" t="s">
        <v>646</v>
      </c>
      <c r="F402" t="s">
        <v>642</v>
      </c>
      <c r="G402" t="s">
        <v>643</v>
      </c>
    </row>
    <row r="403" spans="1:7" x14ac:dyDescent="0.25">
      <c r="A403" t="s">
        <v>644</v>
      </c>
      <c r="B403">
        <v>77000</v>
      </c>
      <c r="D403">
        <v>770010</v>
      </c>
      <c r="E403" t="s">
        <v>646</v>
      </c>
      <c r="F403" t="s">
        <v>642</v>
      </c>
      <c r="G403" t="s">
        <v>645</v>
      </c>
    </row>
    <row r="404" spans="1:7" x14ac:dyDescent="0.25">
      <c r="A404" t="s">
        <v>97</v>
      </c>
      <c r="B404">
        <v>77100</v>
      </c>
      <c r="D404">
        <v>771000</v>
      </c>
      <c r="E404" t="s">
        <v>647</v>
      </c>
      <c r="F404" t="s">
        <v>642</v>
      </c>
      <c r="G404" t="s">
        <v>648</v>
      </c>
    </row>
    <row r="405" spans="1:7" x14ac:dyDescent="0.25">
      <c r="A405" t="s">
        <v>649</v>
      </c>
      <c r="B405">
        <v>77100</v>
      </c>
      <c r="D405">
        <v>771000</v>
      </c>
      <c r="E405" t="s">
        <v>647</v>
      </c>
      <c r="F405" t="s">
        <v>642</v>
      </c>
      <c r="G405" t="s">
        <v>650</v>
      </c>
    </row>
    <row r="406" spans="1:7" x14ac:dyDescent="0.25">
      <c r="A406" t="s">
        <v>97</v>
      </c>
      <c r="B406">
        <v>77100</v>
      </c>
      <c r="D406">
        <v>771001</v>
      </c>
      <c r="E406" t="s">
        <v>651</v>
      </c>
      <c r="F406" t="s">
        <v>642</v>
      </c>
      <c r="G406" t="s">
        <v>648</v>
      </c>
    </row>
    <row r="407" spans="1:7" x14ac:dyDescent="0.25">
      <c r="A407" t="s">
        <v>649</v>
      </c>
      <c r="B407">
        <v>77100</v>
      </c>
      <c r="D407">
        <v>771001</v>
      </c>
      <c r="E407" t="s">
        <v>651</v>
      </c>
      <c r="F407" t="s">
        <v>642</v>
      </c>
      <c r="G407" t="s">
        <v>650</v>
      </c>
    </row>
    <row r="408" spans="1:7" x14ac:dyDescent="0.25">
      <c r="A408" t="s">
        <v>652</v>
      </c>
      <c r="B408">
        <v>77200</v>
      </c>
      <c r="D408">
        <v>772000</v>
      </c>
      <c r="E408" t="s">
        <v>653</v>
      </c>
      <c r="F408" t="s">
        <v>642</v>
      </c>
      <c r="G408" t="s">
        <v>654</v>
      </c>
    </row>
    <row r="409" spans="1:7" x14ac:dyDescent="0.25">
      <c r="A409" t="s">
        <v>655</v>
      </c>
      <c r="B409">
        <v>77200</v>
      </c>
      <c r="D409">
        <v>772000</v>
      </c>
      <c r="E409" t="s">
        <v>653</v>
      </c>
      <c r="F409" t="s">
        <v>642</v>
      </c>
      <c r="G409" t="s">
        <v>656</v>
      </c>
    </row>
    <row r="410" spans="1:7" x14ac:dyDescent="0.25">
      <c r="A410" t="s">
        <v>657</v>
      </c>
      <c r="B410">
        <v>77300</v>
      </c>
      <c r="D410">
        <v>773000</v>
      </c>
      <c r="E410" t="s">
        <v>658</v>
      </c>
      <c r="F410" t="s">
        <v>642</v>
      </c>
      <c r="G410" t="s">
        <v>659</v>
      </c>
    </row>
    <row r="411" spans="1:7" x14ac:dyDescent="0.25">
      <c r="A411" t="s">
        <v>660</v>
      </c>
      <c r="B411">
        <v>77300</v>
      </c>
      <c r="D411">
        <v>773000</v>
      </c>
      <c r="E411" t="s">
        <v>658</v>
      </c>
      <c r="F411" t="s">
        <v>642</v>
      </c>
      <c r="G411" t="s">
        <v>661</v>
      </c>
    </row>
    <row r="412" spans="1:7" x14ac:dyDescent="0.25">
      <c r="A412" t="s">
        <v>662</v>
      </c>
      <c r="B412">
        <v>77700</v>
      </c>
      <c r="D412">
        <v>777000</v>
      </c>
      <c r="E412" t="s">
        <v>663</v>
      </c>
      <c r="F412" t="s">
        <v>642</v>
      </c>
      <c r="G412" t="s">
        <v>664</v>
      </c>
    </row>
    <row r="413" spans="1:7" x14ac:dyDescent="0.25">
      <c r="A413" t="s">
        <v>665</v>
      </c>
      <c r="B413">
        <v>77700</v>
      </c>
      <c r="D413">
        <v>777000</v>
      </c>
      <c r="E413" t="s">
        <v>663</v>
      </c>
      <c r="F413" t="s">
        <v>642</v>
      </c>
      <c r="G413" t="s">
        <v>666</v>
      </c>
    </row>
    <row r="414" spans="1:7" x14ac:dyDescent="0.25">
      <c r="A414" t="s">
        <v>667</v>
      </c>
      <c r="B414">
        <v>88100</v>
      </c>
      <c r="D414">
        <v>881000</v>
      </c>
      <c r="E414" t="s">
        <v>668</v>
      </c>
      <c r="F414" t="s">
        <v>669</v>
      </c>
      <c r="G414" t="s">
        <v>670</v>
      </c>
    </row>
    <row r="415" spans="1:7" x14ac:dyDescent="0.25">
      <c r="A415" t="s">
        <v>671</v>
      </c>
      <c r="B415">
        <v>88100</v>
      </c>
      <c r="D415">
        <v>881000</v>
      </c>
      <c r="E415" t="s">
        <v>668</v>
      </c>
      <c r="F415" t="s">
        <v>669</v>
      </c>
      <c r="G415" t="s">
        <v>672</v>
      </c>
    </row>
    <row r="416" spans="1:7" x14ac:dyDescent="0.25">
      <c r="A416" t="s">
        <v>673</v>
      </c>
      <c r="B416">
        <v>88101</v>
      </c>
      <c r="D416">
        <v>881010</v>
      </c>
      <c r="E416" t="s">
        <v>674</v>
      </c>
      <c r="F416" t="s">
        <v>669</v>
      </c>
      <c r="G416" t="s">
        <v>675</v>
      </c>
    </row>
    <row r="417" spans="1:16" x14ac:dyDescent="0.25">
      <c r="A417" t="s">
        <v>676</v>
      </c>
      <c r="B417">
        <v>88101</v>
      </c>
      <c r="D417">
        <v>881010</v>
      </c>
      <c r="E417" t="s">
        <v>674</v>
      </c>
      <c r="F417" t="s">
        <v>669</v>
      </c>
      <c r="G417" t="s">
        <v>677</v>
      </c>
    </row>
    <row r="418" spans="1:16" x14ac:dyDescent="0.25">
      <c r="A418" t="s">
        <v>678</v>
      </c>
      <c r="B418">
        <v>88102</v>
      </c>
      <c r="D418">
        <v>881020</v>
      </c>
      <c r="E418" t="s">
        <v>679</v>
      </c>
      <c r="F418" t="s">
        <v>669</v>
      </c>
      <c r="G418" t="s">
        <v>680</v>
      </c>
    </row>
    <row r="419" spans="1:16" x14ac:dyDescent="0.25">
      <c r="A419" t="s">
        <v>681</v>
      </c>
      <c r="B419">
        <v>88102</v>
      </c>
      <c r="D419">
        <v>881020</v>
      </c>
      <c r="E419" t="s">
        <v>679</v>
      </c>
      <c r="F419" t="s">
        <v>669</v>
      </c>
      <c r="G419" t="s">
        <v>682</v>
      </c>
    </row>
    <row r="420" spans="1:16" x14ac:dyDescent="0.25">
      <c r="A420" t="s">
        <v>683</v>
      </c>
      <c r="B420">
        <v>88200</v>
      </c>
      <c r="D420">
        <v>882000</v>
      </c>
      <c r="E420" t="s">
        <v>684</v>
      </c>
      <c r="F420" t="s">
        <v>685</v>
      </c>
      <c r="G420" t="s">
        <v>686</v>
      </c>
    </row>
    <row r="421" spans="1:16" x14ac:dyDescent="0.25">
      <c r="A421" t="s">
        <v>687</v>
      </c>
      <c r="B421">
        <v>88200</v>
      </c>
      <c r="D421">
        <v>882000</v>
      </c>
      <c r="E421" t="s">
        <v>684</v>
      </c>
      <c r="F421" t="s">
        <v>685</v>
      </c>
      <c r="G421" t="s">
        <v>688</v>
      </c>
    </row>
    <row r="422" spans="1:16" x14ac:dyDescent="0.25">
      <c r="A422" t="s">
        <v>683</v>
      </c>
      <c r="B422">
        <v>88200</v>
      </c>
      <c r="D422">
        <v>882001</v>
      </c>
      <c r="E422" t="s">
        <v>689</v>
      </c>
      <c r="F422" t="s">
        <v>685</v>
      </c>
      <c r="G422" t="s">
        <v>686</v>
      </c>
    </row>
    <row r="423" spans="1:16" x14ac:dyDescent="0.25">
      <c r="A423" t="s">
        <v>687</v>
      </c>
      <c r="B423">
        <v>88200</v>
      </c>
      <c r="D423">
        <v>882001</v>
      </c>
      <c r="E423" t="s">
        <v>689</v>
      </c>
      <c r="F423" t="s">
        <v>685</v>
      </c>
      <c r="G423" t="s">
        <v>688</v>
      </c>
    </row>
    <row r="424" spans="1:16" x14ac:dyDescent="0.25">
      <c r="A424" t="s">
        <v>690</v>
      </c>
      <c r="B424">
        <v>88400</v>
      </c>
      <c r="D424">
        <v>884000</v>
      </c>
      <c r="E424" t="s">
        <v>691</v>
      </c>
      <c r="G424" t="s">
        <v>692</v>
      </c>
    </row>
    <row r="425" spans="1:16" x14ac:dyDescent="0.25">
      <c r="A425" t="s">
        <v>693</v>
      </c>
      <c r="B425">
        <v>88400</v>
      </c>
      <c r="D425">
        <v>884000</v>
      </c>
      <c r="E425" t="s">
        <v>691</v>
      </c>
      <c r="G425" t="s">
        <v>694</v>
      </c>
    </row>
    <row r="426" spans="1:16" x14ac:dyDescent="0.25">
      <c r="A426" t="s">
        <v>695</v>
      </c>
      <c r="B426">
        <v>88401</v>
      </c>
      <c r="D426">
        <v>884010</v>
      </c>
      <c r="E426" t="s">
        <v>696</v>
      </c>
      <c r="G426" t="s">
        <v>697</v>
      </c>
    </row>
    <row r="427" spans="1:16" x14ac:dyDescent="0.25">
      <c r="A427" t="s">
        <v>698</v>
      </c>
      <c r="B427">
        <v>88401</v>
      </c>
      <c r="D427">
        <v>884010</v>
      </c>
      <c r="E427" t="s">
        <v>696</v>
      </c>
      <c r="G427" t="s">
        <v>699</v>
      </c>
    </row>
    <row r="428" spans="1:16" x14ac:dyDescent="0.25">
      <c r="A428" t="s">
        <v>700</v>
      </c>
      <c r="B428">
        <v>88402</v>
      </c>
      <c r="D428">
        <v>884020</v>
      </c>
      <c r="E428" t="s">
        <v>701</v>
      </c>
      <c r="G428" t="s">
        <v>702</v>
      </c>
    </row>
    <row r="429" spans="1:16" x14ac:dyDescent="0.25">
      <c r="A429" t="s">
        <v>703</v>
      </c>
      <c r="B429">
        <v>88402</v>
      </c>
      <c r="D429">
        <v>884020</v>
      </c>
      <c r="E429" t="s">
        <v>701</v>
      </c>
      <c r="G429" t="s">
        <v>704</v>
      </c>
    </row>
    <row r="430" spans="1:16" x14ac:dyDescent="0.25">
      <c r="P430">
        <v>2175.4499999999998</v>
      </c>
    </row>
    <row r="431" spans="1:16" x14ac:dyDescent="0.25">
      <c r="P431">
        <f>+P430-258.9-201.56</f>
        <v>1714.9899999999998</v>
      </c>
    </row>
    <row r="432" spans="1:16" x14ac:dyDescent="0.25">
      <c r="P432">
        <f>+P430-P431</f>
        <v>460.46000000000004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0F34-D9BB-4135-B950-53756BFC022D}">
  <dimension ref="A1:L321"/>
  <sheetViews>
    <sheetView workbookViewId="0">
      <selection activeCell="A3" sqref="A3:L37"/>
    </sheetView>
  </sheetViews>
  <sheetFormatPr defaultRowHeight="11.25" x14ac:dyDescent="0.2"/>
  <cols>
    <col min="1" max="1" width="9.140625" style="6"/>
    <col min="2" max="2" width="44.28515625" style="6" bestFit="1" customWidth="1"/>
    <col min="3" max="5" width="11.42578125" style="19" bestFit="1" customWidth="1"/>
    <col min="6" max="6" width="11.42578125" style="19" hidden="1" customWidth="1"/>
    <col min="7" max="16384" width="9.140625" style="6"/>
  </cols>
  <sheetData>
    <row r="1" spans="1:6" ht="15.75" x14ac:dyDescent="0.25">
      <c r="B1" s="42" t="s">
        <v>709</v>
      </c>
      <c r="C1" s="42"/>
      <c r="D1" s="42"/>
      <c r="E1" s="42"/>
      <c r="F1" s="42"/>
    </row>
    <row r="2" spans="1:6" ht="15.75" x14ac:dyDescent="0.25">
      <c r="B2" s="42" t="s">
        <v>710</v>
      </c>
      <c r="C2" s="42"/>
      <c r="D2" s="42"/>
      <c r="E2" s="42"/>
      <c r="F2" s="42"/>
    </row>
    <row r="3" spans="1:6" ht="18" x14ac:dyDescent="0.25">
      <c r="B3" s="43" t="s">
        <v>711</v>
      </c>
      <c r="C3" s="43"/>
      <c r="D3" s="43"/>
      <c r="E3" s="43"/>
      <c r="F3" s="43"/>
    </row>
    <row r="4" spans="1:6" ht="18" x14ac:dyDescent="0.25">
      <c r="B4" s="43" t="s">
        <v>712</v>
      </c>
      <c r="C4" s="43"/>
      <c r="D4" s="43"/>
      <c r="E4" s="43"/>
      <c r="F4" s="43"/>
    </row>
    <row r="5" spans="1:6" ht="18" x14ac:dyDescent="0.25">
      <c r="B5" s="43" t="s">
        <v>713</v>
      </c>
      <c r="C5" s="43"/>
      <c r="D5" s="43"/>
      <c r="E5" s="43"/>
      <c r="F5" s="43"/>
    </row>
    <row r="6" spans="1:6" x14ac:dyDescent="0.2">
      <c r="B6" s="7" t="s">
        <v>1305</v>
      </c>
      <c r="C6" s="14" t="s">
        <v>714</v>
      </c>
      <c r="D6" s="14" t="s">
        <v>715</v>
      </c>
      <c r="E6" s="14" t="s">
        <v>716</v>
      </c>
      <c r="F6" s="14" t="s">
        <v>717</v>
      </c>
    </row>
    <row r="7" spans="1:6" x14ac:dyDescent="0.2">
      <c r="B7" s="7" t="s">
        <v>718</v>
      </c>
      <c r="C7" s="14" t="s">
        <v>719</v>
      </c>
      <c r="D7" s="14" t="s">
        <v>719</v>
      </c>
      <c r="E7" s="14" t="s">
        <v>719</v>
      </c>
      <c r="F7" s="14" t="s">
        <v>719</v>
      </c>
    </row>
    <row r="8" spans="1:6" x14ac:dyDescent="0.2">
      <c r="A8" s="6" t="s">
        <v>1035</v>
      </c>
      <c r="B8" s="8" t="s">
        <v>720</v>
      </c>
      <c r="C8" s="15"/>
      <c r="D8" s="15"/>
      <c r="E8" s="15"/>
      <c r="F8" s="15"/>
    </row>
    <row r="9" spans="1:6" x14ac:dyDescent="0.2">
      <c r="A9" s="6" t="s">
        <v>721</v>
      </c>
      <c r="B9" s="9" t="s">
        <v>721</v>
      </c>
      <c r="C9" s="15"/>
      <c r="D9" s="15"/>
      <c r="E9" s="15"/>
      <c r="F9" s="15"/>
    </row>
    <row r="10" spans="1:6" x14ac:dyDescent="0.2">
      <c r="A10" s="6" t="s">
        <v>1036</v>
      </c>
      <c r="B10" s="10" t="s">
        <v>722</v>
      </c>
      <c r="C10" s="16">
        <v>201980.78</v>
      </c>
      <c r="D10" s="16">
        <v>288072.05</v>
      </c>
      <c r="E10" s="16">
        <v>327273.7</v>
      </c>
      <c r="F10" s="16">
        <f t="shared" ref="F10:F44" si="0">SUM(C10:E10)</f>
        <v>817326.53</v>
      </c>
    </row>
    <row r="11" spans="1:6" x14ac:dyDescent="0.2">
      <c r="A11" s="6" t="s">
        <v>1037</v>
      </c>
      <c r="B11" s="10" t="s">
        <v>723</v>
      </c>
      <c r="C11" s="16">
        <v>412484.98</v>
      </c>
      <c r="D11" s="16">
        <v>565569.32999999996</v>
      </c>
      <c r="E11" s="16">
        <v>615785.99</v>
      </c>
      <c r="F11" s="16">
        <f t="shared" si="0"/>
        <v>1593840.2999999998</v>
      </c>
    </row>
    <row r="12" spans="1:6" x14ac:dyDescent="0.2">
      <c r="A12" s="6" t="s">
        <v>1038</v>
      </c>
      <c r="B12" s="10" t="s">
        <v>724</v>
      </c>
      <c r="C12" s="16">
        <v>265292.99</v>
      </c>
      <c r="D12" s="16">
        <v>262838.46999999997</v>
      </c>
      <c r="E12" s="16">
        <v>216718.06</v>
      </c>
      <c r="F12" s="16">
        <f t="shared" si="0"/>
        <v>744849.52</v>
      </c>
    </row>
    <row r="13" spans="1:6" x14ac:dyDescent="0.2">
      <c r="A13" s="6" t="s">
        <v>1039</v>
      </c>
      <c r="B13" s="10" t="s">
        <v>725</v>
      </c>
      <c r="C13" s="16">
        <v>13953.57</v>
      </c>
      <c r="D13" s="16">
        <v>21318.9</v>
      </c>
      <c r="E13" s="16">
        <v>12937</v>
      </c>
      <c r="F13" s="16">
        <f t="shared" si="0"/>
        <v>48209.47</v>
      </c>
    </row>
    <row r="14" spans="1:6" x14ac:dyDescent="0.2">
      <c r="A14" s="6" t="s">
        <v>1040</v>
      </c>
      <c r="B14" s="10" t="s">
        <v>726</v>
      </c>
      <c r="C14" s="16">
        <v>40164</v>
      </c>
      <c r="D14" s="16">
        <v>10675.4</v>
      </c>
      <c r="E14" s="16">
        <v>14668</v>
      </c>
      <c r="F14" s="16">
        <f t="shared" si="0"/>
        <v>65507.4</v>
      </c>
    </row>
    <row r="15" spans="1:6" x14ac:dyDescent="0.2">
      <c r="A15" s="6" t="s">
        <v>1041</v>
      </c>
      <c r="B15" s="10" t="s">
        <v>727</v>
      </c>
      <c r="C15" s="16">
        <v>8669.4</v>
      </c>
      <c r="D15" s="16">
        <v>25121.64</v>
      </c>
      <c r="E15" s="16">
        <v>29907.45</v>
      </c>
      <c r="F15" s="16">
        <f t="shared" si="0"/>
        <v>63698.490000000005</v>
      </c>
    </row>
    <row r="16" spans="1:6" x14ac:dyDescent="0.2">
      <c r="A16" s="6" t="s">
        <v>1042</v>
      </c>
      <c r="B16" s="10" t="s">
        <v>728</v>
      </c>
      <c r="C16" s="16">
        <v>4980</v>
      </c>
      <c r="D16" s="16">
        <v>28579</v>
      </c>
      <c r="E16" s="16">
        <v>54915</v>
      </c>
      <c r="F16" s="16">
        <f t="shared" si="0"/>
        <v>88474</v>
      </c>
    </row>
    <row r="17" spans="1:6" x14ac:dyDescent="0.2">
      <c r="A17" s="6" t="s">
        <v>1043</v>
      </c>
      <c r="B17" s="10" t="s">
        <v>729</v>
      </c>
      <c r="C17" s="16">
        <v>0</v>
      </c>
      <c r="D17" s="16">
        <v>0</v>
      </c>
      <c r="E17" s="16">
        <v>33846.14</v>
      </c>
      <c r="F17" s="16">
        <f t="shared" si="0"/>
        <v>33846.14</v>
      </c>
    </row>
    <row r="18" spans="1:6" x14ac:dyDescent="0.2">
      <c r="A18" s="6" t="s">
        <v>1044</v>
      </c>
      <c r="B18" s="10" t="s">
        <v>730</v>
      </c>
      <c r="C18" s="16">
        <v>18403</v>
      </c>
      <c r="D18" s="16">
        <v>13851</v>
      </c>
      <c r="E18" s="16">
        <v>4606</v>
      </c>
      <c r="F18" s="16">
        <f t="shared" si="0"/>
        <v>36860</v>
      </c>
    </row>
    <row r="19" spans="1:6" x14ac:dyDescent="0.2">
      <c r="A19" s="6" t="s">
        <v>1045</v>
      </c>
      <c r="B19" s="10" t="s">
        <v>731</v>
      </c>
      <c r="C19" s="16">
        <v>4075.13</v>
      </c>
      <c r="D19" s="16">
        <v>5531.68</v>
      </c>
      <c r="E19" s="16">
        <v>7866.74</v>
      </c>
      <c r="F19" s="16">
        <f t="shared" si="0"/>
        <v>17473.550000000003</v>
      </c>
    </row>
    <row r="20" spans="1:6" x14ac:dyDescent="0.2">
      <c r="A20" s="6" t="s">
        <v>1046</v>
      </c>
      <c r="B20" s="10" t="s">
        <v>732</v>
      </c>
      <c r="C20" s="16">
        <v>-470</v>
      </c>
      <c r="D20" s="16">
        <v>-110</v>
      </c>
      <c r="E20" s="16">
        <v>-599.79999999999995</v>
      </c>
      <c r="F20" s="16">
        <f t="shared" si="0"/>
        <v>-1179.8</v>
      </c>
    </row>
    <row r="21" spans="1:6" x14ac:dyDescent="0.2">
      <c r="A21" s="6" t="s">
        <v>1047</v>
      </c>
      <c r="B21" s="10" t="s">
        <v>733</v>
      </c>
      <c r="C21" s="16">
        <v>2774.54</v>
      </c>
      <c r="D21" s="16">
        <v>3182.35</v>
      </c>
      <c r="E21" s="16">
        <v>2857.1</v>
      </c>
      <c r="F21" s="16">
        <f t="shared" si="0"/>
        <v>8813.99</v>
      </c>
    </row>
    <row r="22" spans="1:6" x14ac:dyDescent="0.2">
      <c r="A22" s="6" t="s">
        <v>1048</v>
      </c>
      <c r="B22" s="10" t="s">
        <v>734</v>
      </c>
      <c r="C22" s="16">
        <v>216.08</v>
      </c>
      <c r="D22" s="16">
        <v>216.08</v>
      </c>
      <c r="E22" s="16">
        <v>216.08</v>
      </c>
      <c r="F22" s="16">
        <f t="shared" si="0"/>
        <v>648.24</v>
      </c>
    </row>
    <row r="23" spans="1:6" x14ac:dyDescent="0.2">
      <c r="A23" s="6" t="s">
        <v>1049</v>
      </c>
      <c r="B23" s="10" t="s">
        <v>735</v>
      </c>
      <c r="C23" s="16">
        <v>0</v>
      </c>
      <c r="D23" s="16">
        <v>0</v>
      </c>
      <c r="E23" s="16">
        <v>156.16</v>
      </c>
      <c r="F23" s="16">
        <f t="shared" si="0"/>
        <v>156.16</v>
      </c>
    </row>
    <row r="24" spans="1:6" x14ac:dyDescent="0.2">
      <c r="A24" s="6" t="s">
        <v>1050</v>
      </c>
      <c r="B24" s="10" t="s">
        <v>736</v>
      </c>
      <c r="C24" s="16">
        <v>636.07000000000005</v>
      </c>
      <c r="D24" s="16">
        <v>451.85</v>
      </c>
      <c r="E24" s="16">
        <v>812.96</v>
      </c>
      <c r="F24" s="16">
        <f t="shared" si="0"/>
        <v>1900.88</v>
      </c>
    </row>
    <row r="25" spans="1:6" x14ac:dyDescent="0.2">
      <c r="A25" s="6" t="s">
        <v>1051</v>
      </c>
      <c r="B25" s="10" t="s">
        <v>737</v>
      </c>
      <c r="C25" s="16">
        <v>17030.259999999998</v>
      </c>
      <c r="D25" s="16">
        <v>17354.27</v>
      </c>
      <c r="E25" s="16">
        <v>18898.86</v>
      </c>
      <c r="F25" s="16">
        <f t="shared" si="0"/>
        <v>53283.39</v>
      </c>
    </row>
    <row r="26" spans="1:6" x14ac:dyDescent="0.2">
      <c r="A26" s="6" t="s">
        <v>1052</v>
      </c>
      <c r="B26" s="10" t="s">
        <v>738</v>
      </c>
      <c r="C26" s="16">
        <v>337.5</v>
      </c>
      <c r="D26" s="16">
        <v>845.2</v>
      </c>
      <c r="E26" s="16">
        <v>650</v>
      </c>
      <c r="F26" s="16">
        <f t="shared" si="0"/>
        <v>1832.7</v>
      </c>
    </row>
    <row r="27" spans="1:6" x14ac:dyDescent="0.2">
      <c r="A27" s="6" t="s">
        <v>1053</v>
      </c>
      <c r="B27" s="10" t="s">
        <v>739</v>
      </c>
      <c r="C27" s="16">
        <v>1033.5999999999999</v>
      </c>
      <c r="D27" s="16">
        <v>1618.1</v>
      </c>
      <c r="E27" s="16">
        <v>1470.8</v>
      </c>
      <c r="F27" s="16">
        <f t="shared" si="0"/>
        <v>4122.5</v>
      </c>
    </row>
    <row r="28" spans="1:6" x14ac:dyDescent="0.2">
      <c r="A28" s="6" t="s">
        <v>1054</v>
      </c>
      <c r="B28" s="10" t="s">
        <v>740</v>
      </c>
      <c r="C28" s="16">
        <v>1076.5</v>
      </c>
      <c r="D28" s="16">
        <v>1129</v>
      </c>
      <c r="E28" s="16">
        <v>1276</v>
      </c>
      <c r="F28" s="16">
        <f t="shared" si="0"/>
        <v>3481.5</v>
      </c>
    </row>
    <row r="29" spans="1:6" x14ac:dyDescent="0.2">
      <c r="A29" s="6" t="s">
        <v>1055</v>
      </c>
      <c r="B29" s="10" t="s">
        <v>741</v>
      </c>
      <c r="C29" s="16">
        <v>277.2</v>
      </c>
      <c r="D29" s="16">
        <v>198</v>
      </c>
      <c r="E29" s="16">
        <v>262.35000000000002</v>
      </c>
      <c r="F29" s="16">
        <f t="shared" si="0"/>
        <v>737.55</v>
      </c>
    </row>
    <row r="30" spans="1:6" x14ac:dyDescent="0.2">
      <c r="A30" s="6" t="s">
        <v>1056</v>
      </c>
      <c r="B30" s="10" t="s">
        <v>742</v>
      </c>
      <c r="C30" s="16">
        <v>285.87</v>
      </c>
      <c r="D30" s="16">
        <v>320.44</v>
      </c>
      <c r="E30" s="16">
        <v>-131.91</v>
      </c>
      <c r="F30" s="16">
        <f t="shared" si="0"/>
        <v>474.4</v>
      </c>
    </row>
    <row r="31" spans="1:6" x14ac:dyDescent="0.2">
      <c r="A31" s="6" t="s">
        <v>1057</v>
      </c>
      <c r="B31" s="10" t="s">
        <v>743</v>
      </c>
      <c r="C31" s="16">
        <v>43476.5</v>
      </c>
      <c r="D31" s="16">
        <v>55781.33</v>
      </c>
      <c r="E31" s="16">
        <v>55062.69</v>
      </c>
      <c r="F31" s="16">
        <f t="shared" si="0"/>
        <v>154320.52000000002</v>
      </c>
    </row>
    <row r="32" spans="1:6" x14ac:dyDescent="0.2">
      <c r="A32" s="6" t="s">
        <v>1058</v>
      </c>
      <c r="B32" s="10" t="s">
        <v>744</v>
      </c>
      <c r="C32" s="16">
        <v>10586.02</v>
      </c>
      <c r="D32" s="16">
        <v>8787.99</v>
      </c>
      <c r="E32" s="16">
        <v>8911.0300000000007</v>
      </c>
      <c r="F32" s="16">
        <f t="shared" si="0"/>
        <v>28285.040000000001</v>
      </c>
    </row>
    <row r="33" spans="1:6" x14ac:dyDescent="0.2">
      <c r="A33" s="6" t="s">
        <v>1059</v>
      </c>
      <c r="B33" s="10" t="s">
        <v>745</v>
      </c>
      <c r="C33" s="16">
        <v>27281.56</v>
      </c>
      <c r="D33" s="16">
        <v>32805.51</v>
      </c>
      <c r="E33" s="16">
        <v>34515.199999999997</v>
      </c>
      <c r="F33" s="16">
        <f t="shared" si="0"/>
        <v>94602.27</v>
      </c>
    </row>
    <row r="34" spans="1:6" x14ac:dyDescent="0.2">
      <c r="A34" s="6" t="s">
        <v>1060</v>
      </c>
      <c r="B34" s="10" t="s">
        <v>746</v>
      </c>
      <c r="C34" s="16">
        <v>515</v>
      </c>
      <c r="D34" s="16">
        <v>595</v>
      </c>
      <c r="E34" s="16">
        <v>875</v>
      </c>
      <c r="F34" s="16">
        <f t="shared" si="0"/>
        <v>1985</v>
      </c>
    </row>
    <row r="35" spans="1:6" x14ac:dyDescent="0.2">
      <c r="A35" s="6" t="s">
        <v>1061</v>
      </c>
      <c r="B35" s="10" t="s">
        <v>747</v>
      </c>
      <c r="C35" s="16">
        <v>-19698.580000000002</v>
      </c>
      <c r="D35" s="16">
        <v>-24060.97</v>
      </c>
      <c r="E35" s="16">
        <v>-22498.080000000002</v>
      </c>
      <c r="F35" s="16">
        <f t="shared" si="0"/>
        <v>-66257.63</v>
      </c>
    </row>
    <row r="36" spans="1:6" x14ac:dyDescent="0.2">
      <c r="A36" s="6" t="s">
        <v>1062</v>
      </c>
      <c r="B36" s="10" t="s">
        <v>748</v>
      </c>
      <c r="C36" s="16">
        <v>350</v>
      </c>
      <c r="D36" s="16">
        <v>218.84</v>
      </c>
      <c r="E36" s="16">
        <v>2159.42</v>
      </c>
      <c r="F36" s="16">
        <f t="shared" si="0"/>
        <v>2728.26</v>
      </c>
    </row>
    <row r="37" spans="1:6" x14ac:dyDescent="0.2">
      <c r="A37" s="6" t="s">
        <v>1063</v>
      </c>
      <c r="B37" s="10" t="s">
        <v>749</v>
      </c>
      <c r="C37" s="16">
        <v>1516.8</v>
      </c>
      <c r="D37" s="16">
        <v>2638.14</v>
      </c>
      <c r="E37" s="16">
        <v>2214.71</v>
      </c>
      <c r="F37" s="16">
        <f t="shared" si="0"/>
        <v>6369.65</v>
      </c>
    </row>
    <row r="38" spans="1:6" x14ac:dyDescent="0.2">
      <c r="A38" s="6" t="s">
        <v>1064</v>
      </c>
      <c r="B38" s="10" t="s">
        <v>750</v>
      </c>
      <c r="C38" s="16">
        <v>336.48</v>
      </c>
      <c r="D38" s="16">
        <v>342.28</v>
      </c>
      <c r="E38" s="16">
        <v>1519.06</v>
      </c>
      <c r="F38" s="16">
        <f t="shared" si="0"/>
        <v>2197.8199999999997</v>
      </c>
    </row>
    <row r="39" spans="1:6" x14ac:dyDescent="0.2">
      <c r="A39" s="6" t="s">
        <v>1065</v>
      </c>
      <c r="B39" s="10" t="s">
        <v>751</v>
      </c>
      <c r="C39" s="16">
        <v>0</v>
      </c>
      <c r="D39" s="16">
        <v>0</v>
      </c>
      <c r="E39" s="16">
        <v>100</v>
      </c>
      <c r="F39" s="16">
        <f t="shared" si="0"/>
        <v>100</v>
      </c>
    </row>
    <row r="40" spans="1:6" x14ac:dyDescent="0.2">
      <c r="A40" s="6" t="s">
        <v>1066</v>
      </c>
      <c r="B40" s="10" t="s">
        <v>752</v>
      </c>
      <c r="C40" s="16">
        <v>392</v>
      </c>
      <c r="D40" s="16">
        <v>35</v>
      </c>
      <c r="E40" s="16">
        <v>1325</v>
      </c>
      <c r="F40" s="16">
        <f t="shared" si="0"/>
        <v>1752</v>
      </c>
    </row>
    <row r="41" spans="1:6" x14ac:dyDescent="0.2">
      <c r="A41" s="6" t="s">
        <v>1067</v>
      </c>
      <c r="B41" s="10" t="s">
        <v>753</v>
      </c>
      <c r="C41" s="16">
        <v>23093.22</v>
      </c>
      <c r="D41" s="16">
        <v>27516.45</v>
      </c>
      <c r="E41" s="16">
        <v>26610.880000000001</v>
      </c>
      <c r="F41" s="16">
        <f t="shared" si="0"/>
        <v>77220.55</v>
      </c>
    </row>
    <row r="42" spans="1:6" x14ac:dyDescent="0.2">
      <c r="A42" s="6" t="s">
        <v>1068</v>
      </c>
      <c r="B42" s="10" t="s">
        <v>754</v>
      </c>
      <c r="C42" s="16">
        <v>4831.8599999999997</v>
      </c>
      <c r="D42" s="16">
        <v>6021.95</v>
      </c>
      <c r="E42" s="16">
        <v>7469.06</v>
      </c>
      <c r="F42" s="16">
        <f t="shared" si="0"/>
        <v>18322.87</v>
      </c>
    </row>
    <row r="43" spans="1:6" x14ac:dyDescent="0.2">
      <c r="A43" s="6" t="s">
        <v>1069</v>
      </c>
      <c r="B43" s="10" t="s">
        <v>755</v>
      </c>
      <c r="C43" s="16">
        <v>7320</v>
      </c>
      <c r="D43" s="16">
        <v>7495.11</v>
      </c>
      <c r="E43" s="16">
        <v>7100.58</v>
      </c>
      <c r="F43" s="16">
        <f t="shared" si="0"/>
        <v>21915.690000000002</v>
      </c>
    </row>
    <row r="44" spans="1:6" x14ac:dyDescent="0.2">
      <c r="A44" s="6" t="s">
        <v>1070</v>
      </c>
      <c r="B44" s="10" t="s">
        <v>756</v>
      </c>
      <c r="C44" s="16">
        <v>26157.86</v>
      </c>
      <c r="D44" s="16">
        <v>24894.89</v>
      </c>
      <c r="E44" s="16">
        <v>31294.39</v>
      </c>
      <c r="F44" s="16">
        <f t="shared" si="0"/>
        <v>82347.14</v>
      </c>
    </row>
    <row r="45" spans="1:6" x14ac:dyDescent="0.2">
      <c r="A45" s="6" t="s">
        <v>1071</v>
      </c>
      <c r="B45" s="11" t="s">
        <v>757</v>
      </c>
      <c r="C45" s="17">
        <f>SUM(C10:C44)</f>
        <v>1119360.19</v>
      </c>
      <c r="D45" s="17">
        <f>SUM(D10:D44)</f>
        <v>1389834.2799999998</v>
      </c>
      <c r="E45" s="17">
        <f>SUM(E10:E44)</f>
        <v>1501051.6199999999</v>
      </c>
      <c r="F45" s="17">
        <f>SUM(F10:F44)</f>
        <v>4010246.0900000008</v>
      </c>
    </row>
    <row r="46" spans="1:6" x14ac:dyDescent="0.2">
      <c r="A46" s="6" t="s">
        <v>1072</v>
      </c>
      <c r="B46" s="9" t="s">
        <v>758</v>
      </c>
      <c r="C46" s="15"/>
      <c r="D46" s="15"/>
      <c r="E46" s="15"/>
      <c r="F46" s="15"/>
    </row>
    <row r="47" spans="1:6" x14ac:dyDescent="0.2">
      <c r="A47" s="6" t="s">
        <v>1073</v>
      </c>
      <c r="B47" s="10" t="s">
        <v>759</v>
      </c>
      <c r="C47" s="16">
        <v>1791.64</v>
      </c>
      <c r="D47" s="16">
        <v>1745.03</v>
      </c>
      <c r="E47" s="16">
        <v>1807.88</v>
      </c>
      <c r="F47" s="16">
        <f t="shared" ref="F47:F58" si="1">SUM(C47:E47)</f>
        <v>5344.55</v>
      </c>
    </row>
    <row r="48" spans="1:6" x14ac:dyDescent="0.2">
      <c r="A48" s="6" t="s">
        <v>1074</v>
      </c>
      <c r="B48" s="10" t="s">
        <v>760</v>
      </c>
      <c r="C48" s="16">
        <v>0</v>
      </c>
      <c r="D48" s="16">
        <v>875</v>
      </c>
      <c r="E48" s="16">
        <v>875</v>
      </c>
      <c r="F48" s="16">
        <f t="shared" si="1"/>
        <v>1750</v>
      </c>
    </row>
    <row r="49" spans="1:6" x14ac:dyDescent="0.2">
      <c r="A49" s="6" t="s">
        <v>1075</v>
      </c>
      <c r="B49" s="10" t="s">
        <v>761</v>
      </c>
      <c r="C49" s="16">
        <v>3836.61</v>
      </c>
      <c r="D49" s="16">
        <v>2270.48</v>
      </c>
      <c r="E49" s="16">
        <v>2127.06</v>
      </c>
      <c r="F49" s="16">
        <f t="shared" si="1"/>
        <v>8234.15</v>
      </c>
    </row>
    <row r="50" spans="1:6" x14ac:dyDescent="0.2">
      <c r="A50" s="6" t="s">
        <v>1076</v>
      </c>
      <c r="B50" s="10" t="s">
        <v>762</v>
      </c>
      <c r="C50" s="16">
        <v>578</v>
      </c>
      <c r="D50" s="16">
        <v>392.56</v>
      </c>
      <c r="E50" s="16">
        <v>681.97</v>
      </c>
      <c r="F50" s="16">
        <f t="shared" si="1"/>
        <v>1652.53</v>
      </c>
    </row>
    <row r="51" spans="1:6" x14ac:dyDescent="0.2">
      <c r="A51" s="6" t="s">
        <v>1077</v>
      </c>
      <c r="B51" s="10" t="s">
        <v>763</v>
      </c>
      <c r="C51" s="16">
        <v>7521.77</v>
      </c>
      <c r="D51" s="16">
        <v>6363.66</v>
      </c>
      <c r="E51" s="16">
        <v>6819.83</v>
      </c>
      <c r="F51" s="16">
        <f t="shared" si="1"/>
        <v>20705.260000000002</v>
      </c>
    </row>
    <row r="52" spans="1:6" x14ac:dyDescent="0.2">
      <c r="A52" s="6" t="s">
        <v>1078</v>
      </c>
      <c r="B52" s="10" t="s">
        <v>764</v>
      </c>
      <c r="C52" s="16">
        <v>195.64</v>
      </c>
      <c r="D52" s="16">
        <v>252.89</v>
      </c>
      <c r="E52" s="16">
        <v>232.54</v>
      </c>
      <c r="F52" s="16">
        <f t="shared" si="1"/>
        <v>681.06999999999994</v>
      </c>
    </row>
    <row r="53" spans="1:6" x14ac:dyDescent="0.2">
      <c r="A53" s="6" t="s">
        <v>1079</v>
      </c>
      <c r="B53" s="10" t="s">
        <v>765</v>
      </c>
      <c r="C53" s="16">
        <v>219.26</v>
      </c>
      <c r="D53" s="16">
        <v>289.14999999999998</v>
      </c>
      <c r="E53" s="16">
        <v>248.85</v>
      </c>
      <c r="F53" s="16">
        <f t="shared" si="1"/>
        <v>757.26</v>
      </c>
    </row>
    <row r="54" spans="1:6" x14ac:dyDescent="0.2">
      <c r="A54" s="6" t="s">
        <v>1080</v>
      </c>
      <c r="B54" s="10" t="s">
        <v>766</v>
      </c>
      <c r="C54" s="16">
        <v>373.28</v>
      </c>
      <c r="D54" s="16">
        <v>455.63</v>
      </c>
      <c r="E54" s="16">
        <v>881</v>
      </c>
      <c r="F54" s="16">
        <f t="shared" si="1"/>
        <v>1709.9099999999999</v>
      </c>
    </row>
    <row r="55" spans="1:6" x14ac:dyDescent="0.2">
      <c r="A55" s="6" t="s">
        <v>1081</v>
      </c>
      <c r="B55" s="10" t="s">
        <v>767</v>
      </c>
      <c r="C55" s="16">
        <v>11917.29</v>
      </c>
      <c r="D55" s="16">
        <v>17900.16</v>
      </c>
      <c r="E55" s="16">
        <v>16465.72</v>
      </c>
      <c r="F55" s="16">
        <f t="shared" si="1"/>
        <v>46283.17</v>
      </c>
    </row>
    <row r="56" spans="1:6" x14ac:dyDescent="0.2">
      <c r="A56" s="6" t="s">
        <v>1082</v>
      </c>
      <c r="B56" s="10" t="s">
        <v>768</v>
      </c>
      <c r="C56" s="16">
        <v>3168.17</v>
      </c>
      <c r="D56" s="16">
        <v>2441.06</v>
      </c>
      <c r="E56" s="16">
        <v>3230.67</v>
      </c>
      <c r="F56" s="16">
        <f t="shared" si="1"/>
        <v>8839.9</v>
      </c>
    </row>
    <row r="57" spans="1:6" x14ac:dyDescent="0.2">
      <c r="A57" s="6" t="s">
        <v>1083</v>
      </c>
      <c r="B57" s="10" t="s">
        <v>769</v>
      </c>
      <c r="C57" s="16">
        <v>1097.03</v>
      </c>
      <c r="D57" s="16">
        <v>1003.04</v>
      </c>
      <c r="E57" s="16">
        <v>802.98</v>
      </c>
      <c r="F57" s="16">
        <f t="shared" si="1"/>
        <v>2903.0499999999997</v>
      </c>
    </row>
    <row r="58" spans="1:6" x14ac:dyDescent="0.2">
      <c r="A58" s="6" t="s">
        <v>1084</v>
      </c>
      <c r="B58" s="10" t="s">
        <v>770</v>
      </c>
      <c r="C58" s="16">
        <v>996.23</v>
      </c>
      <c r="D58" s="16">
        <v>1665.07</v>
      </c>
      <c r="E58" s="16">
        <v>1431.49</v>
      </c>
      <c r="F58" s="16">
        <f t="shared" si="1"/>
        <v>4092.79</v>
      </c>
    </row>
    <row r="59" spans="1:6" x14ac:dyDescent="0.2">
      <c r="A59" s="6" t="s">
        <v>1071</v>
      </c>
      <c r="B59" s="11" t="s">
        <v>771</v>
      </c>
      <c r="C59" s="17">
        <f>SUM(C47:C58)</f>
        <v>31694.920000000002</v>
      </c>
      <c r="D59" s="17">
        <f>SUM(D47:D58)</f>
        <v>35653.729999999996</v>
      </c>
      <c r="E59" s="17">
        <f>SUM(E47:E58)</f>
        <v>35604.990000000005</v>
      </c>
      <c r="F59" s="17">
        <f>SUM(F47:F58)</f>
        <v>102953.64</v>
      </c>
    </row>
    <row r="60" spans="1:6" x14ac:dyDescent="0.2">
      <c r="A60" s="6" t="s">
        <v>1085</v>
      </c>
      <c r="B60" s="12" t="s">
        <v>772</v>
      </c>
      <c r="C60" s="18">
        <f>C45-C59</f>
        <v>1087665.27</v>
      </c>
      <c r="D60" s="18">
        <f>D45-D59</f>
        <v>1354180.5499999998</v>
      </c>
      <c r="E60" s="18">
        <f>E45-E59</f>
        <v>1465446.63</v>
      </c>
      <c r="F60" s="18">
        <f>F45-F59</f>
        <v>3907292.4500000007</v>
      </c>
    </row>
    <row r="61" spans="1:6" x14ac:dyDescent="0.2">
      <c r="A61" s="6" t="s">
        <v>773</v>
      </c>
      <c r="B61" s="9" t="s">
        <v>773</v>
      </c>
      <c r="C61" s="15"/>
      <c r="D61" s="15"/>
      <c r="E61" s="15"/>
      <c r="F61" s="15"/>
    </row>
    <row r="62" spans="1:6" x14ac:dyDescent="0.2">
      <c r="A62" s="6" t="s">
        <v>1086</v>
      </c>
      <c r="B62" s="9" t="s">
        <v>774</v>
      </c>
      <c r="C62" s="15"/>
      <c r="D62" s="15"/>
      <c r="E62" s="15"/>
      <c r="F62" s="15"/>
    </row>
    <row r="63" spans="1:6" x14ac:dyDescent="0.2">
      <c r="A63" s="6" t="s">
        <v>37</v>
      </c>
      <c r="B63" s="10" t="s">
        <v>775</v>
      </c>
      <c r="C63" s="16">
        <v>92.39</v>
      </c>
      <c r="D63" s="16">
        <v>108.71</v>
      </c>
      <c r="E63" s="16">
        <v>154.91</v>
      </c>
      <c r="F63" s="16">
        <f>SUM(C63:E63)</f>
        <v>356.01</v>
      </c>
    </row>
    <row r="64" spans="1:6" x14ac:dyDescent="0.2">
      <c r="A64" s="6" t="s">
        <v>1087</v>
      </c>
      <c r="B64" s="10" t="s">
        <v>776</v>
      </c>
      <c r="C64" s="16">
        <v>9177.36</v>
      </c>
      <c r="D64" s="16">
        <v>9322.1299999999992</v>
      </c>
      <c r="E64" s="16">
        <v>9557.9599999999991</v>
      </c>
      <c r="F64" s="16">
        <f>SUM(C64:E64)</f>
        <v>28057.449999999997</v>
      </c>
    </row>
    <row r="65" spans="1:6" x14ac:dyDescent="0.2">
      <c r="A65" s="6" t="s">
        <v>1071</v>
      </c>
      <c r="B65" s="11" t="s">
        <v>777</v>
      </c>
      <c r="C65" s="17">
        <f>SUM(C63:C64)</f>
        <v>9269.75</v>
      </c>
      <c r="D65" s="17">
        <f>SUM(D63:D64)</f>
        <v>9430.8399999999983</v>
      </c>
      <c r="E65" s="26">
        <f>SUM(E63:E64)</f>
        <v>9712.869999999999</v>
      </c>
      <c r="F65" s="17">
        <f>SUM(F63:F64)</f>
        <v>28413.459999999995</v>
      </c>
    </row>
    <row r="66" spans="1:6" x14ac:dyDescent="0.2">
      <c r="A66" s="6" t="s">
        <v>1088</v>
      </c>
      <c r="B66" s="9" t="s">
        <v>778</v>
      </c>
      <c r="C66" s="15"/>
      <c r="D66" s="15"/>
      <c r="E66" s="15"/>
      <c r="F66" s="15"/>
    </row>
    <row r="67" spans="1:6" x14ac:dyDescent="0.2">
      <c r="A67" s="6" t="s">
        <v>1089</v>
      </c>
      <c r="B67" s="10" t="s">
        <v>779</v>
      </c>
      <c r="C67" s="16">
        <v>7228.14</v>
      </c>
      <c r="D67" s="16">
        <v>6668.54</v>
      </c>
      <c r="E67" s="16">
        <v>6840.14</v>
      </c>
      <c r="F67" s="16">
        <f>SUM(C67:E67)</f>
        <v>20736.82</v>
      </c>
    </row>
    <row r="68" spans="1:6" x14ac:dyDescent="0.2">
      <c r="A68" s="6" t="s">
        <v>1071</v>
      </c>
      <c r="B68" s="11" t="s">
        <v>780</v>
      </c>
      <c r="C68" s="17">
        <f>SUM(C67)</f>
        <v>7228.14</v>
      </c>
      <c r="D68" s="17">
        <f>SUM(D67)</f>
        <v>6668.54</v>
      </c>
      <c r="E68" s="28">
        <f>SUM(E67)</f>
        <v>6840.14</v>
      </c>
      <c r="F68" s="17">
        <f>SUM(F67)</f>
        <v>20736.82</v>
      </c>
    </row>
    <row r="69" spans="1:6" x14ac:dyDescent="0.2">
      <c r="A69" s="6" t="s">
        <v>1090</v>
      </c>
      <c r="B69" s="9" t="s">
        <v>781</v>
      </c>
      <c r="C69" s="15"/>
      <c r="D69" s="15"/>
      <c r="E69" s="15"/>
      <c r="F69" s="15"/>
    </row>
    <row r="70" spans="1:6" x14ac:dyDescent="0.2">
      <c r="A70" s="6" t="s">
        <v>1091</v>
      </c>
      <c r="B70" s="10" t="s">
        <v>782</v>
      </c>
      <c r="C70" s="16">
        <v>9368.1299999999992</v>
      </c>
      <c r="D70" s="16">
        <v>8642.86</v>
      </c>
      <c r="E70" s="16">
        <v>9125.18</v>
      </c>
      <c r="F70" s="16">
        <f>SUM(C70:E70)</f>
        <v>27136.17</v>
      </c>
    </row>
    <row r="71" spans="1:6" x14ac:dyDescent="0.2">
      <c r="A71" s="6" t="s">
        <v>1071</v>
      </c>
      <c r="B71" s="11" t="s">
        <v>783</v>
      </c>
      <c r="C71" s="17">
        <f>SUM(C70)</f>
        <v>9368.1299999999992</v>
      </c>
      <c r="D71" s="17">
        <f>SUM(D70)</f>
        <v>8642.86</v>
      </c>
      <c r="E71" s="28">
        <f>SUM(E70)</f>
        <v>9125.18</v>
      </c>
      <c r="F71" s="17">
        <f>SUM(F70)</f>
        <v>27136.17</v>
      </c>
    </row>
    <row r="72" spans="1:6" x14ac:dyDescent="0.2">
      <c r="A72" s="6" t="s">
        <v>1092</v>
      </c>
      <c r="B72" s="9" t="s">
        <v>784</v>
      </c>
      <c r="C72" s="15"/>
      <c r="D72" s="15"/>
      <c r="E72" s="15"/>
      <c r="F72" s="15"/>
    </row>
    <row r="73" spans="1:6" x14ac:dyDescent="0.2">
      <c r="A73" s="6" t="s">
        <v>45</v>
      </c>
      <c r="B73" s="10" t="s">
        <v>785</v>
      </c>
      <c r="C73" s="16">
        <v>68.55</v>
      </c>
      <c r="D73" s="16">
        <v>88.32</v>
      </c>
      <c r="E73" s="16">
        <v>25.51</v>
      </c>
      <c r="F73" s="16">
        <f>SUM(C73:E73)</f>
        <v>182.38</v>
      </c>
    </row>
    <row r="74" spans="1:6" x14ac:dyDescent="0.2">
      <c r="A74" s="6" t="s">
        <v>1093</v>
      </c>
      <c r="B74" s="10" t="s">
        <v>786</v>
      </c>
      <c r="C74" s="16">
        <v>9306.99</v>
      </c>
      <c r="D74" s="16">
        <v>8571.74</v>
      </c>
      <c r="E74" s="16">
        <v>4166.97</v>
      </c>
      <c r="F74" s="16">
        <f>SUM(C74:E74)</f>
        <v>22045.7</v>
      </c>
    </row>
    <row r="75" spans="1:6" x14ac:dyDescent="0.2">
      <c r="A75" s="6" t="s">
        <v>1071</v>
      </c>
      <c r="B75" s="11" t="s">
        <v>787</v>
      </c>
      <c r="C75" s="17">
        <f>SUM(C73:C74)</f>
        <v>9375.5399999999991</v>
      </c>
      <c r="D75" s="17">
        <f>SUM(D73:D74)</f>
        <v>8660.06</v>
      </c>
      <c r="E75" s="20">
        <f>SUM(E73:E74)</f>
        <v>4192.4800000000005</v>
      </c>
      <c r="F75" s="17">
        <f>SUM(F73:F74)</f>
        <v>22228.080000000002</v>
      </c>
    </row>
    <row r="76" spans="1:6" x14ac:dyDescent="0.2">
      <c r="A76" s="6" t="s">
        <v>1094</v>
      </c>
      <c r="B76" s="9" t="s">
        <v>788</v>
      </c>
      <c r="C76" s="15"/>
      <c r="D76" s="15"/>
      <c r="E76" s="15"/>
      <c r="F76" s="15"/>
    </row>
    <row r="77" spans="1:6" x14ac:dyDescent="0.2">
      <c r="A77" s="6" t="s">
        <v>199</v>
      </c>
      <c r="B77" s="10" t="s">
        <v>789</v>
      </c>
      <c r="C77" s="16">
        <v>7.23</v>
      </c>
      <c r="D77" s="16">
        <v>14.06</v>
      </c>
      <c r="E77" s="16">
        <v>0</v>
      </c>
      <c r="F77" s="16">
        <f>SUM(C77:E77)</f>
        <v>21.29</v>
      </c>
    </row>
    <row r="78" spans="1:6" x14ac:dyDescent="0.2">
      <c r="A78" s="6" t="s">
        <v>1095</v>
      </c>
      <c r="B78" s="10" t="s">
        <v>790</v>
      </c>
      <c r="C78" s="16">
        <v>14267.57</v>
      </c>
      <c r="D78" s="16">
        <v>13730.72</v>
      </c>
      <c r="E78" s="16">
        <v>18068.009999999998</v>
      </c>
      <c r="F78" s="16">
        <f>SUM(C78:E78)</f>
        <v>46066.3</v>
      </c>
    </row>
    <row r="79" spans="1:6" x14ac:dyDescent="0.2">
      <c r="A79" s="6" t="s">
        <v>1071</v>
      </c>
      <c r="B79" s="11" t="s">
        <v>791</v>
      </c>
      <c r="C79" s="17">
        <f>SUM(C77:C78)</f>
        <v>14274.8</v>
      </c>
      <c r="D79" s="17">
        <f>SUM(D77:D78)</f>
        <v>13744.779999999999</v>
      </c>
      <c r="E79" s="20">
        <f>SUM(E77:E78)</f>
        <v>18068.009999999998</v>
      </c>
      <c r="F79" s="17">
        <f>SUM(F77:F78)</f>
        <v>46087.590000000004</v>
      </c>
    </row>
    <row r="80" spans="1:6" x14ac:dyDescent="0.2">
      <c r="A80" s="6" t="s">
        <v>1096</v>
      </c>
      <c r="B80" s="9" t="s">
        <v>792</v>
      </c>
      <c r="C80" s="15"/>
      <c r="D80" s="15"/>
      <c r="E80" s="15"/>
      <c r="F80" s="15"/>
    </row>
    <row r="81" spans="1:12" x14ac:dyDescent="0.2">
      <c r="A81" s="6" t="s">
        <v>127</v>
      </c>
      <c r="B81" s="10" t="s">
        <v>793</v>
      </c>
      <c r="C81" s="16">
        <v>30.5</v>
      </c>
      <c r="D81" s="16">
        <v>79.39</v>
      </c>
      <c r="E81" s="16">
        <v>142.51</v>
      </c>
      <c r="F81" s="16">
        <f>SUM(C81:E81)</f>
        <v>252.39999999999998</v>
      </c>
    </row>
    <row r="82" spans="1:12" x14ac:dyDescent="0.2">
      <c r="A82" s="6" t="s">
        <v>1097</v>
      </c>
      <c r="B82" s="10" t="s">
        <v>794</v>
      </c>
      <c r="C82" s="16">
        <v>8191.17</v>
      </c>
      <c r="D82" s="16">
        <v>8087.7</v>
      </c>
      <c r="E82" s="22">
        <v>4349</v>
      </c>
      <c r="F82" s="22">
        <f>SUM(C82:E82)</f>
        <v>20627.87</v>
      </c>
    </row>
    <row r="83" spans="1:12" x14ac:dyDescent="0.2">
      <c r="A83" s="6" t="s">
        <v>1071</v>
      </c>
      <c r="B83" s="11" t="s">
        <v>795</v>
      </c>
      <c r="C83" s="17">
        <f>SUM(C81:C82)</f>
        <v>8221.67</v>
      </c>
      <c r="D83" s="17">
        <f>SUM(D81:D82)</f>
        <v>8167.09</v>
      </c>
      <c r="E83" s="26">
        <f>SUM(E81:E82)</f>
        <v>4491.51</v>
      </c>
      <c r="F83" s="23">
        <f>SUM(F81:F82)</f>
        <v>20880.27</v>
      </c>
    </row>
    <row r="84" spans="1:12" x14ac:dyDescent="0.2">
      <c r="A84" s="6" t="s">
        <v>1098</v>
      </c>
      <c r="B84" s="9" t="s">
        <v>796</v>
      </c>
      <c r="C84" s="15"/>
      <c r="D84" s="15"/>
      <c r="E84" s="24"/>
      <c r="F84" s="24"/>
    </row>
    <row r="85" spans="1:12" x14ac:dyDescent="0.2">
      <c r="A85" s="6" t="s">
        <v>1099</v>
      </c>
      <c r="B85" s="10" t="s">
        <v>797</v>
      </c>
      <c r="C85" s="16">
        <v>7453.37</v>
      </c>
      <c r="D85" s="16">
        <v>6876.34</v>
      </c>
      <c r="E85" s="22">
        <v>7403.38</v>
      </c>
      <c r="F85" s="22">
        <f>SUM(C85:E85)</f>
        <v>21733.09</v>
      </c>
      <c r="K85" s="21"/>
      <c r="L85" s="21"/>
    </row>
    <row r="86" spans="1:12" x14ac:dyDescent="0.2">
      <c r="A86" s="6" t="s">
        <v>1071</v>
      </c>
      <c r="B86" s="11" t="s">
        <v>798</v>
      </c>
      <c r="C86" s="17">
        <f>SUM(C85)</f>
        <v>7453.37</v>
      </c>
      <c r="D86" s="17">
        <f>SUM(D85)</f>
        <v>6876.34</v>
      </c>
      <c r="E86" s="28">
        <f>SUM(E85)</f>
        <v>7403.38</v>
      </c>
      <c r="F86" s="23">
        <f>SUM(F85)</f>
        <v>21733.09</v>
      </c>
    </row>
    <row r="87" spans="1:12" x14ac:dyDescent="0.2">
      <c r="A87" s="6" t="s">
        <v>1100</v>
      </c>
      <c r="B87" s="9" t="s">
        <v>799</v>
      </c>
      <c r="C87" s="15"/>
      <c r="D87" s="15"/>
      <c r="E87" s="24"/>
      <c r="F87" s="24"/>
    </row>
    <row r="88" spans="1:12" x14ac:dyDescent="0.2">
      <c r="A88" s="6" t="s">
        <v>131</v>
      </c>
      <c r="B88" s="10" t="s">
        <v>800</v>
      </c>
      <c r="C88" s="16">
        <v>0</v>
      </c>
      <c r="D88" s="16">
        <v>0.69</v>
      </c>
      <c r="E88" s="22">
        <v>375.13</v>
      </c>
      <c r="F88" s="22">
        <f>SUM(C88:E88)</f>
        <v>375.82</v>
      </c>
    </row>
    <row r="89" spans="1:12" x14ac:dyDescent="0.2">
      <c r="A89" s="6" t="s">
        <v>1101</v>
      </c>
      <c r="B89" s="10" t="s">
        <v>801</v>
      </c>
      <c r="C89" s="16">
        <v>57337.34</v>
      </c>
      <c r="D89" s="16">
        <v>51418.03</v>
      </c>
      <c r="E89" s="22">
        <v>60041.279999999999</v>
      </c>
      <c r="F89" s="22">
        <f>SUM(C89:E89)</f>
        <v>168796.65</v>
      </c>
    </row>
    <row r="90" spans="1:12" x14ac:dyDescent="0.2">
      <c r="A90" s="6" t="s">
        <v>1071</v>
      </c>
      <c r="B90" s="11" t="s">
        <v>802</v>
      </c>
      <c r="C90" s="17">
        <f>SUM(C88:C89)</f>
        <v>57337.34</v>
      </c>
      <c r="D90" s="17">
        <f>SUM(D88:D89)</f>
        <v>51418.720000000001</v>
      </c>
      <c r="E90" s="27">
        <f>SUM(E88:E89)</f>
        <v>60416.409999999996</v>
      </c>
      <c r="F90" s="23">
        <f>SUM(F88:F89)</f>
        <v>169172.47</v>
      </c>
    </row>
    <row r="91" spans="1:12" x14ac:dyDescent="0.2">
      <c r="A91" s="6" t="s">
        <v>1102</v>
      </c>
      <c r="B91" s="9" t="s">
        <v>803</v>
      </c>
      <c r="C91" s="15"/>
      <c r="D91" s="15"/>
      <c r="E91" s="24"/>
      <c r="F91" s="24"/>
    </row>
    <row r="92" spans="1:12" x14ac:dyDescent="0.2">
      <c r="A92" s="6" t="s">
        <v>1103</v>
      </c>
      <c r="B92" s="10" t="s">
        <v>804</v>
      </c>
      <c r="C92" s="16">
        <v>11506.79</v>
      </c>
      <c r="D92" s="16">
        <v>11524.29</v>
      </c>
      <c r="E92" s="22">
        <v>11671.72</v>
      </c>
      <c r="F92" s="22">
        <f>SUM(C92:E92)</f>
        <v>34702.800000000003</v>
      </c>
    </row>
    <row r="93" spans="1:12" x14ac:dyDescent="0.2">
      <c r="A93" s="6" t="s">
        <v>1071</v>
      </c>
      <c r="B93" s="11" t="s">
        <v>805</v>
      </c>
      <c r="C93" s="17">
        <f>SUM(C92)</f>
        <v>11506.79</v>
      </c>
      <c r="D93" s="17">
        <f>SUM(D92)</f>
        <v>11524.29</v>
      </c>
      <c r="E93" s="27">
        <f>SUM(E92)</f>
        <v>11671.72</v>
      </c>
      <c r="F93" s="23">
        <f>SUM(F92)</f>
        <v>34702.800000000003</v>
      </c>
    </row>
    <row r="94" spans="1:12" x14ac:dyDescent="0.2">
      <c r="A94" s="6" t="s">
        <v>1104</v>
      </c>
      <c r="B94" s="9" t="s">
        <v>806</v>
      </c>
      <c r="C94" s="15"/>
      <c r="D94" s="15"/>
      <c r="E94" s="24"/>
      <c r="F94" s="24"/>
    </row>
    <row r="95" spans="1:12" x14ac:dyDescent="0.2">
      <c r="A95" s="6" t="s">
        <v>1105</v>
      </c>
      <c r="B95" s="10" t="s">
        <v>807</v>
      </c>
      <c r="C95" s="16">
        <v>0</v>
      </c>
      <c r="D95" s="16">
        <v>0</v>
      </c>
      <c r="E95" s="16">
        <v>219.13</v>
      </c>
      <c r="F95" s="16">
        <f>SUM(C95:E95)</f>
        <v>219.13</v>
      </c>
    </row>
    <row r="96" spans="1:12" x14ac:dyDescent="0.2">
      <c r="A96" s="6" t="s">
        <v>1071</v>
      </c>
      <c r="B96" s="11" t="s">
        <v>808</v>
      </c>
      <c r="C96" s="17">
        <f>SUM(C95)</f>
        <v>0</v>
      </c>
      <c r="D96" s="17">
        <f>SUM(D95)</f>
        <v>0</v>
      </c>
      <c r="E96" s="25">
        <f>SUM(E95)</f>
        <v>219.13</v>
      </c>
      <c r="F96" s="17">
        <f>SUM(F95)</f>
        <v>219.13</v>
      </c>
    </row>
    <row r="97" spans="1:6" x14ac:dyDescent="0.2">
      <c r="A97" s="6" t="s">
        <v>1106</v>
      </c>
      <c r="B97" s="9" t="s">
        <v>809</v>
      </c>
      <c r="C97" s="15"/>
      <c r="D97" s="15"/>
      <c r="E97" s="15"/>
      <c r="F97" s="15"/>
    </row>
    <row r="98" spans="1:6" x14ac:dyDescent="0.2">
      <c r="A98" s="6" t="s">
        <v>1107</v>
      </c>
      <c r="B98" s="10" t="s">
        <v>810</v>
      </c>
      <c r="C98" s="16">
        <v>12635.45</v>
      </c>
      <c r="D98" s="16">
        <v>10831.45</v>
      </c>
      <c r="E98" s="16">
        <v>12759.57</v>
      </c>
      <c r="F98" s="16">
        <f>SUM(C98:E98)</f>
        <v>36226.47</v>
      </c>
    </row>
    <row r="99" spans="1:6" x14ac:dyDescent="0.2">
      <c r="A99" s="6" t="s">
        <v>1071</v>
      </c>
      <c r="B99" s="11" t="s">
        <v>811</v>
      </c>
      <c r="C99" s="17">
        <f>SUM(C98)</f>
        <v>12635.45</v>
      </c>
      <c r="D99" s="17">
        <f>SUM(D98)</f>
        <v>10831.45</v>
      </c>
      <c r="E99" s="27">
        <f>SUM(E98)</f>
        <v>12759.57</v>
      </c>
      <c r="F99" s="17">
        <f>SUM(F98)</f>
        <v>36226.47</v>
      </c>
    </row>
    <row r="100" spans="1:6" x14ac:dyDescent="0.2">
      <c r="A100" s="6" t="s">
        <v>1108</v>
      </c>
      <c r="B100" s="10" t="s">
        <v>812</v>
      </c>
      <c r="C100" s="16">
        <v>37.799999999999997</v>
      </c>
      <c r="D100" s="16">
        <v>12.2</v>
      </c>
      <c r="E100" s="16">
        <v>0</v>
      </c>
      <c r="F100" s="16">
        <f t="shared" ref="F100:F120" si="2">SUM(C100:E100)</f>
        <v>50</v>
      </c>
    </row>
    <row r="101" spans="1:6" x14ac:dyDescent="0.2">
      <c r="A101" s="6" t="s">
        <v>1109</v>
      </c>
      <c r="B101" s="10" t="s">
        <v>813</v>
      </c>
      <c r="C101" s="16">
        <v>1672.61</v>
      </c>
      <c r="D101" s="16">
        <v>1921.03</v>
      </c>
      <c r="E101" s="16">
        <v>3672.42</v>
      </c>
      <c r="F101" s="16">
        <f t="shared" si="2"/>
        <v>7266.0599999999995</v>
      </c>
    </row>
    <row r="102" spans="1:6" x14ac:dyDescent="0.2">
      <c r="A102" s="6" t="s">
        <v>1110</v>
      </c>
      <c r="B102" s="10" t="s">
        <v>814</v>
      </c>
      <c r="C102" s="16">
        <v>13712.68</v>
      </c>
      <c r="D102" s="16">
        <v>12614.88</v>
      </c>
      <c r="E102" s="16">
        <v>12985.59</v>
      </c>
      <c r="F102" s="16">
        <f t="shared" si="2"/>
        <v>39313.149999999994</v>
      </c>
    </row>
    <row r="103" spans="1:6" x14ac:dyDescent="0.2">
      <c r="A103" s="6" t="s">
        <v>1111</v>
      </c>
      <c r="B103" s="10" t="s">
        <v>815</v>
      </c>
      <c r="C103" s="16">
        <v>11274</v>
      </c>
      <c r="D103" s="16">
        <v>16967.669999999998</v>
      </c>
      <c r="E103" s="16">
        <v>17157.48</v>
      </c>
      <c r="F103" s="16">
        <f t="shared" si="2"/>
        <v>45399.149999999994</v>
      </c>
    </row>
    <row r="104" spans="1:6" x14ac:dyDescent="0.2">
      <c r="A104" s="6" t="s">
        <v>1112</v>
      </c>
      <c r="B104" s="10" t="s">
        <v>816</v>
      </c>
      <c r="C104" s="16">
        <v>6591.82</v>
      </c>
      <c r="D104" s="16">
        <v>4353.95</v>
      </c>
      <c r="E104" s="16">
        <v>3406.99</v>
      </c>
      <c r="F104" s="16">
        <f t="shared" si="2"/>
        <v>14352.76</v>
      </c>
    </row>
    <row r="105" spans="1:6" x14ac:dyDescent="0.2">
      <c r="A105" s="6" t="s">
        <v>1113</v>
      </c>
      <c r="B105" s="10" t="s">
        <v>817</v>
      </c>
      <c r="C105" s="16">
        <v>5658.88</v>
      </c>
      <c r="D105" s="16">
        <v>8321.43</v>
      </c>
      <c r="E105" s="16">
        <v>3413.81</v>
      </c>
      <c r="F105" s="16">
        <f t="shared" si="2"/>
        <v>17394.120000000003</v>
      </c>
    </row>
    <row r="106" spans="1:6" x14ac:dyDescent="0.2">
      <c r="A106" s="6" t="s">
        <v>1114</v>
      </c>
      <c r="B106" s="10" t="s">
        <v>818</v>
      </c>
      <c r="C106" s="16">
        <v>2032.75</v>
      </c>
      <c r="D106" s="16">
        <v>2032.75</v>
      </c>
      <c r="E106" s="16">
        <v>2114.25</v>
      </c>
      <c r="F106" s="16">
        <f t="shared" si="2"/>
        <v>6179.75</v>
      </c>
    </row>
    <row r="107" spans="1:6" x14ac:dyDescent="0.2">
      <c r="A107" s="6" t="s">
        <v>1115</v>
      </c>
      <c r="B107" s="10" t="s">
        <v>819</v>
      </c>
      <c r="C107" s="16">
        <v>12.15</v>
      </c>
      <c r="D107" s="16">
        <v>12.15</v>
      </c>
      <c r="E107" s="16">
        <v>12.15</v>
      </c>
      <c r="F107" s="16">
        <f t="shared" si="2"/>
        <v>36.450000000000003</v>
      </c>
    </row>
    <row r="108" spans="1:6" x14ac:dyDescent="0.2">
      <c r="A108" s="6" t="s">
        <v>1116</v>
      </c>
      <c r="B108" s="10" t="s">
        <v>820</v>
      </c>
      <c r="C108" s="16">
        <v>6196.96</v>
      </c>
      <c r="D108" s="16">
        <v>4730.2700000000004</v>
      </c>
      <c r="E108" s="16">
        <v>4612.88</v>
      </c>
      <c r="F108" s="16">
        <f t="shared" si="2"/>
        <v>15540.11</v>
      </c>
    </row>
    <row r="109" spans="1:6" x14ac:dyDescent="0.2">
      <c r="A109" s="6" t="s">
        <v>1117</v>
      </c>
      <c r="B109" s="10" t="s">
        <v>821</v>
      </c>
      <c r="C109" s="16">
        <v>8482.7999999999993</v>
      </c>
      <c r="D109" s="16">
        <v>9897.02</v>
      </c>
      <c r="E109" s="16">
        <v>12162.3</v>
      </c>
      <c r="F109" s="16">
        <f t="shared" si="2"/>
        <v>30542.12</v>
      </c>
    </row>
    <row r="110" spans="1:6" x14ac:dyDescent="0.2">
      <c r="A110" s="6" t="s">
        <v>1118</v>
      </c>
      <c r="B110" s="10" t="s">
        <v>822</v>
      </c>
      <c r="C110" s="16">
        <v>793.91</v>
      </c>
      <c r="D110" s="16">
        <v>105.34</v>
      </c>
      <c r="E110" s="16">
        <v>509.14</v>
      </c>
      <c r="F110" s="16">
        <f t="shared" si="2"/>
        <v>1408.3899999999999</v>
      </c>
    </row>
    <row r="111" spans="1:6" x14ac:dyDescent="0.2">
      <c r="A111" s="6" t="s">
        <v>1119</v>
      </c>
      <c r="B111" s="10" t="s">
        <v>823</v>
      </c>
      <c r="C111" s="16">
        <v>1444.82</v>
      </c>
      <c r="D111" s="16">
        <v>1356.45</v>
      </c>
      <c r="E111" s="16">
        <v>1770.82</v>
      </c>
      <c r="F111" s="16">
        <f t="shared" si="2"/>
        <v>4572.09</v>
      </c>
    </row>
    <row r="112" spans="1:6" x14ac:dyDescent="0.2">
      <c r="A112" s="6" t="s">
        <v>1120</v>
      </c>
      <c r="B112" s="10" t="s">
        <v>824</v>
      </c>
      <c r="C112" s="16">
        <v>31934.23</v>
      </c>
      <c r="D112" s="16">
        <v>34869.06</v>
      </c>
      <c r="E112" s="16">
        <v>37857.82</v>
      </c>
      <c r="F112" s="16">
        <f t="shared" si="2"/>
        <v>104661.10999999999</v>
      </c>
    </row>
    <row r="113" spans="1:6" x14ac:dyDescent="0.2">
      <c r="A113" s="6" t="s">
        <v>1121</v>
      </c>
      <c r="B113" s="10" t="s">
        <v>825</v>
      </c>
      <c r="C113" s="16">
        <v>704.88</v>
      </c>
      <c r="D113" s="16">
        <v>3473.98</v>
      </c>
      <c r="E113" s="16">
        <v>3473.98</v>
      </c>
      <c r="F113" s="16">
        <f t="shared" si="2"/>
        <v>7652.84</v>
      </c>
    </row>
    <row r="114" spans="1:6" x14ac:dyDescent="0.2">
      <c r="A114" s="6" t="s">
        <v>1122</v>
      </c>
      <c r="B114" s="10" t="s">
        <v>826</v>
      </c>
      <c r="C114" s="16">
        <v>2279.1799999999998</v>
      </c>
      <c r="D114" s="16">
        <v>806.89</v>
      </c>
      <c r="E114" s="16">
        <v>1211.28</v>
      </c>
      <c r="F114" s="16">
        <f t="shared" si="2"/>
        <v>4297.3499999999995</v>
      </c>
    </row>
    <row r="115" spans="1:6" x14ac:dyDescent="0.2">
      <c r="A115" s="6" t="s">
        <v>1123</v>
      </c>
      <c r="B115" s="10" t="s">
        <v>827</v>
      </c>
      <c r="C115" s="16">
        <v>7348.21</v>
      </c>
      <c r="D115" s="16">
        <v>5883.18</v>
      </c>
      <c r="E115" s="16">
        <v>9036.02</v>
      </c>
      <c r="F115" s="16">
        <f t="shared" si="2"/>
        <v>22267.41</v>
      </c>
    </row>
    <row r="116" spans="1:6" x14ac:dyDescent="0.2">
      <c r="A116" s="6" t="s">
        <v>1124</v>
      </c>
      <c r="B116" s="10" t="s">
        <v>828</v>
      </c>
      <c r="C116" s="16">
        <v>7015</v>
      </c>
      <c r="D116" s="16">
        <v>6261.24</v>
      </c>
      <c r="E116" s="16">
        <v>5322.6</v>
      </c>
      <c r="F116" s="16">
        <f t="shared" si="2"/>
        <v>18598.84</v>
      </c>
    </row>
    <row r="117" spans="1:6" x14ac:dyDescent="0.2">
      <c r="A117" s="6" t="s">
        <v>1125</v>
      </c>
      <c r="B117" s="10" t="s">
        <v>829</v>
      </c>
      <c r="C117" s="16">
        <v>19475.34</v>
      </c>
      <c r="D117" s="16">
        <v>26238.66</v>
      </c>
      <c r="E117" s="16">
        <v>21190.240000000002</v>
      </c>
      <c r="F117" s="16">
        <f t="shared" si="2"/>
        <v>66904.240000000005</v>
      </c>
    </row>
    <row r="118" spans="1:6" x14ac:dyDescent="0.2">
      <c r="A118" s="6" t="s">
        <v>1126</v>
      </c>
      <c r="B118" s="10" t="s">
        <v>830</v>
      </c>
      <c r="C118" s="16">
        <v>-44.25</v>
      </c>
      <c r="D118" s="16">
        <v>1556.3</v>
      </c>
      <c r="E118" s="16">
        <v>3455.88</v>
      </c>
      <c r="F118" s="16">
        <f t="shared" si="2"/>
        <v>4967.93</v>
      </c>
    </row>
    <row r="119" spans="1:6" x14ac:dyDescent="0.2">
      <c r="A119" s="6" t="s">
        <v>1127</v>
      </c>
      <c r="B119" s="10" t="s">
        <v>831</v>
      </c>
      <c r="C119" s="16">
        <v>77.510000000000005</v>
      </c>
      <c r="D119" s="16">
        <v>835.7</v>
      </c>
      <c r="E119" s="16">
        <v>798.71</v>
      </c>
      <c r="F119" s="16">
        <f t="shared" si="2"/>
        <v>1711.92</v>
      </c>
    </row>
    <row r="120" spans="1:6" x14ac:dyDescent="0.2">
      <c r="A120" s="6" t="s">
        <v>1128</v>
      </c>
      <c r="B120" s="10" t="s">
        <v>832</v>
      </c>
      <c r="C120" s="16">
        <v>427.65</v>
      </c>
      <c r="D120" s="16">
        <v>504.38</v>
      </c>
      <c r="E120" s="16">
        <v>461.96</v>
      </c>
      <c r="F120" s="16">
        <f t="shared" si="2"/>
        <v>1393.99</v>
      </c>
    </row>
    <row r="121" spans="1:6" x14ac:dyDescent="0.2">
      <c r="A121" s="6" t="s">
        <v>1129</v>
      </c>
      <c r="B121" s="9" t="s">
        <v>833</v>
      </c>
      <c r="C121" s="15"/>
      <c r="D121" s="15"/>
      <c r="E121" s="15"/>
      <c r="F121" s="15"/>
    </row>
    <row r="122" spans="1:6" x14ac:dyDescent="0.2">
      <c r="A122" s="6" t="s">
        <v>1130</v>
      </c>
      <c r="B122" s="10" t="s">
        <v>834</v>
      </c>
      <c r="C122" s="16">
        <v>7266.48</v>
      </c>
      <c r="D122" s="16">
        <v>9793.9599999999991</v>
      </c>
      <c r="E122" s="30">
        <v>9728.25</v>
      </c>
      <c r="F122" s="16">
        <f>SUM(C122:E122)</f>
        <v>26788.69</v>
      </c>
    </row>
    <row r="123" spans="1:6" x14ac:dyDescent="0.2">
      <c r="A123" s="6" t="s">
        <v>1071</v>
      </c>
      <c r="B123" s="11" t="s">
        <v>835</v>
      </c>
      <c r="C123" s="17">
        <f>SUM(C122)</f>
        <v>7266.48</v>
      </c>
      <c r="D123" s="17">
        <f>SUM(D122)</f>
        <v>9793.9599999999991</v>
      </c>
      <c r="E123" s="17">
        <f>SUM(E122)</f>
        <v>9728.25</v>
      </c>
      <c r="F123" s="17">
        <f>SUM(F122)</f>
        <v>26788.69</v>
      </c>
    </row>
    <row r="124" spans="1:6" x14ac:dyDescent="0.2">
      <c r="A124" s="6" t="s">
        <v>1131</v>
      </c>
      <c r="B124" s="9" t="s">
        <v>836</v>
      </c>
      <c r="C124" s="15"/>
      <c r="D124" s="15"/>
      <c r="E124" s="15"/>
      <c r="F124" s="15"/>
    </row>
    <row r="125" spans="1:6" x14ac:dyDescent="0.2">
      <c r="A125" s="6" t="s">
        <v>1132</v>
      </c>
      <c r="B125" s="10" t="s">
        <v>837</v>
      </c>
      <c r="C125" s="16">
        <v>7318.68</v>
      </c>
      <c r="D125" s="16">
        <v>7071.44</v>
      </c>
      <c r="E125" s="29">
        <v>7613.41</v>
      </c>
      <c r="F125" s="16">
        <f>SUM(C125:E125)</f>
        <v>22003.53</v>
      </c>
    </row>
    <row r="126" spans="1:6" x14ac:dyDescent="0.2">
      <c r="A126" s="6" t="s">
        <v>1071</v>
      </c>
      <c r="B126" s="11" t="s">
        <v>838</v>
      </c>
      <c r="C126" s="17">
        <f>SUM(C125)</f>
        <v>7318.68</v>
      </c>
      <c r="D126" s="17">
        <f>SUM(D125)</f>
        <v>7071.44</v>
      </c>
      <c r="E126" s="17">
        <f>SUM(E125)</f>
        <v>7613.41</v>
      </c>
      <c r="F126" s="17">
        <f>SUM(F125)</f>
        <v>22003.53</v>
      </c>
    </row>
    <row r="127" spans="1:6" x14ac:dyDescent="0.2">
      <c r="A127" s="6" t="s">
        <v>1133</v>
      </c>
      <c r="B127" s="9" t="s">
        <v>839</v>
      </c>
      <c r="C127" s="15"/>
      <c r="D127" s="15"/>
      <c r="E127" s="15"/>
      <c r="F127" s="15"/>
    </row>
    <row r="128" spans="1:6" x14ac:dyDescent="0.2">
      <c r="A128" s="6" t="s">
        <v>1134</v>
      </c>
      <c r="B128" s="10" t="s">
        <v>840</v>
      </c>
      <c r="C128" s="16">
        <v>7000.54</v>
      </c>
      <c r="D128" s="16">
        <v>5826.27</v>
      </c>
      <c r="E128" s="30">
        <v>6684.41</v>
      </c>
      <c r="F128" s="16">
        <f>SUM(C128:E128)</f>
        <v>19511.22</v>
      </c>
    </row>
    <row r="129" spans="1:6" x14ac:dyDescent="0.2">
      <c r="A129" s="6" t="s">
        <v>1071</v>
      </c>
      <c r="B129" s="11" t="s">
        <v>841</v>
      </c>
      <c r="C129" s="17">
        <f>SUM(C128)</f>
        <v>7000.54</v>
      </c>
      <c r="D129" s="17">
        <f>SUM(D128)</f>
        <v>5826.27</v>
      </c>
      <c r="E129" s="17">
        <f>SUM(E128)</f>
        <v>6684.41</v>
      </c>
      <c r="F129" s="17">
        <f>SUM(F128)</f>
        <v>19511.22</v>
      </c>
    </row>
    <row r="130" spans="1:6" x14ac:dyDescent="0.2">
      <c r="A130" s="6" t="s">
        <v>1135</v>
      </c>
      <c r="B130" s="9" t="s">
        <v>842</v>
      </c>
      <c r="C130" s="15"/>
      <c r="D130" s="15"/>
      <c r="E130" s="15"/>
      <c r="F130" s="15"/>
    </row>
    <row r="131" spans="1:6" x14ac:dyDescent="0.2">
      <c r="A131" s="6" t="s">
        <v>1136</v>
      </c>
      <c r="B131" s="10" t="s">
        <v>843</v>
      </c>
      <c r="C131" s="16">
        <v>1275.71</v>
      </c>
      <c r="D131" s="16">
        <v>25.68</v>
      </c>
      <c r="E131" s="30">
        <v>-120.89</v>
      </c>
      <c r="F131" s="16">
        <f>SUM(C131:E131)</f>
        <v>1180.5</v>
      </c>
    </row>
    <row r="132" spans="1:6" x14ac:dyDescent="0.2">
      <c r="A132" s="6" t="s">
        <v>1071</v>
      </c>
      <c r="B132" s="11" t="s">
        <v>844</v>
      </c>
      <c r="C132" s="17">
        <f>SUM(C131)</f>
        <v>1275.71</v>
      </c>
      <c r="D132" s="17">
        <f>SUM(D131)</f>
        <v>25.68</v>
      </c>
      <c r="E132" s="17">
        <f>SUM(E131)</f>
        <v>-120.89</v>
      </c>
      <c r="F132" s="17">
        <f>SUM(F131)</f>
        <v>1180.5</v>
      </c>
    </row>
    <row r="133" spans="1:6" x14ac:dyDescent="0.2">
      <c r="A133" s="6" t="s">
        <v>1137</v>
      </c>
      <c r="B133" s="9" t="s">
        <v>845</v>
      </c>
      <c r="C133" s="15"/>
      <c r="D133" s="15"/>
      <c r="E133" s="15"/>
      <c r="F133" s="15"/>
    </row>
    <row r="134" spans="1:6" x14ac:dyDescent="0.2">
      <c r="A134" s="6" t="s">
        <v>1138</v>
      </c>
      <c r="B134" s="10" t="s">
        <v>846</v>
      </c>
      <c r="C134" s="16">
        <v>82.48</v>
      </c>
      <c r="D134" s="16">
        <v>-126.95</v>
      </c>
      <c r="E134" s="29">
        <v>1268.3399999999999</v>
      </c>
      <c r="F134" s="16">
        <f>SUM(C134:E134)</f>
        <v>1223.8699999999999</v>
      </c>
    </row>
    <row r="135" spans="1:6" x14ac:dyDescent="0.2">
      <c r="A135" s="6" t="s">
        <v>1071</v>
      </c>
      <c r="B135" s="11" t="s">
        <v>847</v>
      </c>
      <c r="C135" s="17">
        <f>SUM(C134)</f>
        <v>82.48</v>
      </c>
      <c r="D135" s="17">
        <f>SUM(D134)</f>
        <v>-126.95</v>
      </c>
      <c r="E135" s="17">
        <f>SUM(E134)</f>
        <v>1268.3399999999999</v>
      </c>
      <c r="F135" s="17">
        <f>SUM(F134)</f>
        <v>1223.8699999999999</v>
      </c>
    </row>
    <row r="136" spans="1:6" x14ac:dyDescent="0.2">
      <c r="A136" s="6" t="s">
        <v>1139</v>
      </c>
      <c r="B136" s="9" t="s">
        <v>848</v>
      </c>
      <c r="C136" s="15"/>
      <c r="D136" s="15"/>
      <c r="E136" s="15"/>
      <c r="F136" s="15"/>
    </row>
    <row r="137" spans="1:6" x14ac:dyDescent="0.2">
      <c r="A137" s="6" t="s">
        <v>1140</v>
      </c>
      <c r="B137" s="10" t="s">
        <v>849</v>
      </c>
      <c r="C137" s="16">
        <v>12759.09</v>
      </c>
      <c r="D137" s="16">
        <v>11190.56</v>
      </c>
      <c r="E137" s="16">
        <v>12581.39</v>
      </c>
      <c r="F137" s="16">
        <f>SUM(C137:E137)</f>
        <v>36531.040000000001</v>
      </c>
    </row>
    <row r="138" spans="1:6" x14ac:dyDescent="0.2">
      <c r="A138" s="6" t="s">
        <v>1071</v>
      </c>
      <c r="B138" s="11" t="s">
        <v>850</v>
      </c>
      <c r="C138" s="17">
        <f>SUM(C137)</f>
        <v>12759.09</v>
      </c>
      <c r="D138" s="17">
        <f>SUM(D137)</f>
        <v>11190.56</v>
      </c>
      <c r="E138" s="32">
        <f>SUM(E137)</f>
        <v>12581.39</v>
      </c>
      <c r="F138" s="17">
        <f>SUM(F137)</f>
        <v>36531.040000000001</v>
      </c>
    </row>
    <row r="139" spans="1:6" x14ac:dyDescent="0.2">
      <c r="A139" s="6" t="s">
        <v>1141</v>
      </c>
      <c r="B139" s="9" t="s">
        <v>851</v>
      </c>
      <c r="C139" s="15"/>
      <c r="D139" s="15"/>
      <c r="E139" s="15"/>
      <c r="F139" s="15"/>
    </row>
    <row r="140" spans="1:6" x14ac:dyDescent="0.2">
      <c r="A140" s="6" t="s">
        <v>1142</v>
      </c>
      <c r="B140" s="10" t="s">
        <v>852</v>
      </c>
      <c r="C140" s="16">
        <v>0</v>
      </c>
      <c r="D140" s="16">
        <v>3077.14</v>
      </c>
      <c r="E140" s="16">
        <v>2547.62</v>
      </c>
      <c r="F140" s="16">
        <f>SUM(C140:E140)</f>
        <v>5624.76</v>
      </c>
    </row>
    <row r="141" spans="1:6" x14ac:dyDescent="0.2">
      <c r="A141" s="6" t="s">
        <v>1071</v>
      </c>
      <c r="B141" s="11" t="s">
        <v>853</v>
      </c>
      <c r="C141" s="17">
        <f>SUM(C140)</f>
        <v>0</v>
      </c>
      <c r="D141" s="17">
        <f>SUM(D140)</f>
        <v>3077.14</v>
      </c>
      <c r="E141" s="32">
        <f>SUM(E140)</f>
        <v>2547.62</v>
      </c>
      <c r="F141" s="17">
        <f>SUM(F140)</f>
        <v>5624.76</v>
      </c>
    </row>
    <row r="142" spans="1:6" x14ac:dyDescent="0.2">
      <c r="A142" s="6" t="s">
        <v>1143</v>
      </c>
      <c r="B142" s="9" t="s">
        <v>854</v>
      </c>
      <c r="C142" s="15"/>
      <c r="D142" s="15"/>
      <c r="E142" s="15"/>
      <c r="F142" s="15"/>
    </row>
    <row r="143" spans="1:6" x14ac:dyDescent="0.2">
      <c r="A143" s="6" t="s">
        <v>73</v>
      </c>
      <c r="B143" s="10" t="s">
        <v>855</v>
      </c>
      <c r="C143" s="16">
        <v>0</v>
      </c>
      <c r="D143" s="16">
        <v>26.28</v>
      </c>
      <c r="E143" s="31">
        <v>111.22</v>
      </c>
      <c r="F143" s="16">
        <f>SUM(C143:E143)</f>
        <v>137.5</v>
      </c>
    </row>
    <row r="144" spans="1:6" x14ac:dyDescent="0.2">
      <c r="A144" s="6" t="s">
        <v>1144</v>
      </c>
      <c r="B144" s="10" t="s">
        <v>856</v>
      </c>
      <c r="C144" s="16">
        <v>21922.3</v>
      </c>
      <c r="D144" s="16">
        <v>19648.900000000001</v>
      </c>
      <c r="E144" s="31">
        <v>18720.41</v>
      </c>
      <c r="F144" s="16">
        <f>SUM(C144:E144)</f>
        <v>60291.61</v>
      </c>
    </row>
    <row r="145" spans="1:6" x14ac:dyDescent="0.2">
      <c r="A145" s="6" t="s">
        <v>1071</v>
      </c>
      <c r="B145" s="11" t="s">
        <v>857</v>
      </c>
      <c r="C145" s="17">
        <f>SUM(C143:C144)</f>
        <v>21922.3</v>
      </c>
      <c r="D145" s="17">
        <f>SUM(D143:D144)</f>
        <v>19675.18</v>
      </c>
      <c r="E145" s="17">
        <f>SUM(E143:E144)</f>
        <v>18831.63</v>
      </c>
      <c r="F145" s="17">
        <f>SUM(F143:F144)</f>
        <v>60429.11</v>
      </c>
    </row>
    <row r="146" spans="1:6" x14ac:dyDescent="0.2">
      <c r="A146" s="6" t="s">
        <v>1145</v>
      </c>
      <c r="B146" s="9" t="s">
        <v>858</v>
      </c>
      <c r="C146" s="15"/>
      <c r="D146" s="15"/>
      <c r="E146" s="15"/>
      <c r="F146" s="15"/>
    </row>
    <row r="147" spans="1:6" x14ac:dyDescent="0.2">
      <c r="A147" s="6" t="s">
        <v>1146</v>
      </c>
      <c r="B147" s="10" t="s">
        <v>859</v>
      </c>
      <c r="C147" s="16">
        <v>5774.61</v>
      </c>
      <c r="D147" s="16">
        <v>5803.71</v>
      </c>
      <c r="E147" s="31">
        <v>6600.87</v>
      </c>
      <c r="F147" s="16">
        <f>SUM(C147:E147)</f>
        <v>18179.189999999999</v>
      </c>
    </row>
    <row r="148" spans="1:6" x14ac:dyDescent="0.2">
      <c r="A148" s="6" t="s">
        <v>1071</v>
      </c>
      <c r="B148" s="11" t="s">
        <v>860</v>
      </c>
      <c r="C148" s="17">
        <f>SUM(C147)</f>
        <v>5774.61</v>
      </c>
      <c r="D148" s="17">
        <f>SUM(D147)</f>
        <v>5803.71</v>
      </c>
      <c r="E148" s="17">
        <f>SUM(E147)</f>
        <v>6600.87</v>
      </c>
      <c r="F148" s="17">
        <f>SUM(F147)</f>
        <v>18179.189999999999</v>
      </c>
    </row>
    <row r="149" spans="1:6" x14ac:dyDescent="0.2">
      <c r="A149" s="6" t="s">
        <v>1147</v>
      </c>
      <c r="B149" s="10" t="s">
        <v>861</v>
      </c>
      <c r="C149" s="16">
        <v>21.64</v>
      </c>
      <c r="D149" s="16">
        <v>64.92</v>
      </c>
      <c r="E149" s="16">
        <v>151.47999999999999</v>
      </c>
      <c r="F149" s="16">
        <f t="shared" ref="F149:F175" si="3">SUM(C149:E149)</f>
        <v>238.04</v>
      </c>
    </row>
    <row r="150" spans="1:6" x14ac:dyDescent="0.2">
      <c r="A150" s="6" t="s">
        <v>1148</v>
      </c>
      <c r="B150" s="10" t="s">
        <v>862</v>
      </c>
      <c r="C150" s="16">
        <v>7320.53</v>
      </c>
      <c r="D150" s="16">
        <v>7195.33</v>
      </c>
      <c r="E150" s="16">
        <v>8247.1299999999992</v>
      </c>
      <c r="F150" s="16">
        <f t="shared" si="3"/>
        <v>22762.989999999998</v>
      </c>
    </row>
    <row r="151" spans="1:6" x14ac:dyDescent="0.2">
      <c r="A151" s="6" t="s">
        <v>1149</v>
      </c>
      <c r="B151" s="10" t="s">
        <v>863</v>
      </c>
      <c r="C151" s="16">
        <v>5936.05</v>
      </c>
      <c r="D151" s="16">
        <v>9180.59</v>
      </c>
      <c r="E151" s="16">
        <v>10379.36</v>
      </c>
      <c r="F151" s="16">
        <f t="shared" si="3"/>
        <v>25496</v>
      </c>
    </row>
    <row r="152" spans="1:6" x14ac:dyDescent="0.2">
      <c r="A152" s="6" t="s">
        <v>1150</v>
      </c>
      <c r="B152" s="10" t="s">
        <v>864</v>
      </c>
      <c r="C152" s="16">
        <v>1301.73</v>
      </c>
      <c r="D152" s="16">
        <v>845.7</v>
      </c>
      <c r="E152" s="16">
        <v>699.07</v>
      </c>
      <c r="F152" s="16">
        <f t="shared" si="3"/>
        <v>2846.5000000000005</v>
      </c>
    </row>
    <row r="153" spans="1:6" x14ac:dyDescent="0.2">
      <c r="A153" s="6" t="s">
        <v>1151</v>
      </c>
      <c r="B153" s="10" t="s">
        <v>865</v>
      </c>
      <c r="C153" s="16">
        <v>6999.2</v>
      </c>
      <c r="D153" s="16">
        <v>3893.79</v>
      </c>
      <c r="E153" s="16">
        <v>3345.37</v>
      </c>
      <c r="F153" s="16">
        <f t="shared" si="3"/>
        <v>14238.36</v>
      </c>
    </row>
    <row r="154" spans="1:6" x14ac:dyDescent="0.2">
      <c r="A154" s="6" t="s">
        <v>1152</v>
      </c>
      <c r="B154" s="10" t="s">
        <v>866</v>
      </c>
      <c r="C154" s="16">
        <v>0</v>
      </c>
      <c r="D154" s="16">
        <v>0.03</v>
      </c>
      <c r="E154" s="16">
        <v>0</v>
      </c>
      <c r="F154" s="16">
        <f t="shared" si="3"/>
        <v>0.03</v>
      </c>
    </row>
    <row r="155" spans="1:6" x14ac:dyDescent="0.2">
      <c r="A155" s="6" t="s">
        <v>1153</v>
      </c>
      <c r="B155" s="10" t="s">
        <v>867</v>
      </c>
      <c r="C155" s="16">
        <v>0</v>
      </c>
      <c r="D155" s="16">
        <v>554.29999999999995</v>
      </c>
      <c r="E155" s="16">
        <v>578</v>
      </c>
      <c r="F155" s="16">
        <f t="shared" si="3"/>
        <v>1132.3</v>
      </c>
    </row>
    <row r="156" spans="1:6" x14ac:dyDescent="0.2">
      <c r="A156" s="6" t="s">
        <v>1154</v>
      </c>
      <c r="B156" s="10" t="s">
        <v>868</v>
      </c>
      <c r="C156" s="16">
        <v>200.03</v>
      </c>
      <c r="D156" s="16">
        <v>331.88</v>
      </c>
      <c r="E156" s="16">
        <v>0</v>
      </c>
      <c r="F156" s="16">
        <f t="shared" si="3"/>
        <v>531.91</v>
      </c>
    </row>
    <row r="157" spans="1:6" x14ac:dyDescent="0.2">
      <c r="A157" s="6" t="s">
        <v>1155</v>
      </c>
      <c r="B157" s="10" t="s">
        <v>869</v>
      </c>
      <c r="C157" s="16">
        <v>0</v>
      </c>
      <c r="D157" s="16">
        <v>50.06</v>
      </c>
      <c r="E157" s="16">
        <v>192.39</v>
      </c>
      <c r="F157" s="16">
        <f t="shared" si="3"/>
        <v>242.45</v>
      </c>
    </row>
    <row r="158" spans="1:6" x14ac:dyDescent="0.2">
      <c r="A158" s="6" t="s">
        <v>1156</v>
      </c>
      <c r="B158" s="10" t="s">
        <v>870</v>
      </c>
      <c r="C158" s="16">
        <v>-1172.98</v>
      </c>
      <c r="D158" s="16">
        <v>-832.2</v>
      </c>
      <c r="E158" s="16">
        <v>-1183.95</v>
      </c>
      <c r="F158" s="16">
        <f t="shared" si="3"/>
        <v>-3189.13</v>
      </c>
    </row>
    <row r="159" spans="1:6" x14ac:dyDescent="0.2">
      <c r="A159" s="6" t="s">
        <v>1157</v>
      </c>
      <c r="B159" s="10" t="s">
        <v>871</v>
      </c>
      <c r="C159" s="16">
        <v>76</v>
      </c>
      <c r="D159" s="16">
        <v>23</v>
      </c>
      <c r="E159" s="16">
        <v>23</v>
      </c>
      <c r="F159" s="16">
        <f t="shared" si="3"/>
        <v>122</v>
      </c>
    </row>
    <row r="160" spans="1:6" x14ac:dyDescent="0.2">
      <c r="A160" s="6" t="s">
        <v>1158</v>
      </c>
      <c r="B160" s="10" t="s">
        <v>872</v>
      </c>
      <c r="C160" s="16">
        <v>192.23</v>
      </c>
      <c r="D160" s="16">
        <v>276.23</v>
      </c>
      <c r="E160" s="16">
        <v>77.28</v>
      </c>
      <c r="F160" s="16">
        <f t="shared" si="3"/>
        <v>545.74</v>
      </c>
    </row>
    <row r="161" spans="1:6" x14ac:dyDescent="0.2">
      <c r="A161" s="6" t="s">
        <v>1159</v>
      </c>
      <c r="B161" s="10" t="s">
        <v>873</v>
      </c>
      <c r="C161" s="16">
        <v>212.74</v>
      </c>
      <c r="D161" s="16">
        <v>2620.54</v>
      </c>
      <c r="E161" s="16">
        <v>223.8</v>
      </c>
      <c r="F161" s="16">
        <f t="shared" si="3"/>
        <v>3057.08</v>
      </c>
    </row>
    <row r="162" spans="1:6" x14ac:dyDescent="0.2">
      <c r="A162" s="6" t="s">
        <v>1160</v>
      </c>
      <c r="B162" s="10" t="s">
        <v>874</v>
      </c>
      <c r="C162" s="16">
        <v>0</v>
      </c>
      <c r="D162" s="16">
        <v>44.21</v>
      </c>
      <c r="E162" s="16">
        <v>824.66</v>
      </c>
      <c r="F162" s="16">
        <f t="shared" si="3"/>
        <v>868.87</v>
      </c>
    </row>
    <row r="163" spans="1:6" x14ac:dyDescent="0.2">
      <c r="A163" s="6" t="s">
        <v>1161</v>
      </c>
      <c r="B163" s="10" t="s">
        <v>875</v>
      </c>
      <c r="C163" s="16">
        <v>0</v>
      </c>
      <c r="D163" s="16">
        <v>66.2</v>
      </c>
      <c r="E163" s="16">
        <v>0</v>
      </c>
      <c r="F163" s="16">
        <f t="shared" si="3"/>
        <v>66.2</v>
      </c>
    </row>
    <row r="164" spans="1:6" x14ac:dyDescent="0.2">
      <c r="A164" s="6" t="s">
        <v>1162</v>
      </c>
      <c r="B164" s="10" t="s">
        <v>876</v>
      </c>
      <c r="C164" s="16">
        <v>629.65</v>
      </c>
      <c r="D164" s="16">
        <v>132.54</v>
      </c>
      <c r="E164" s="16">
        <v>816.47</v>
      </c>
      <c r="F164" s="16">
        <f t="shared" si="3"/>
        <v>1578.6599999999999</v>
      </c>
    </row>
    <row r="165" spans="1:6" x14ac:dyDescent="0.2">
      <c r="A165" s="6" t="s">
        <v>1163</v>
      </c>
      <c r="B165" s="10" t="s">
        <v>877</v>
      </c>
      <c r="C165" s="16">
        <v>2175</v>
      </c>
      <c r="D165" s="16">
        <v>6125</v>
      </c>
      <c r="E165" s="16">
        <v>1725</v>
      </c>
      <c r="F165" s="16">
        <f t="shared" si="3"/>
        <v>10025</v>
      </c>
    </row>
    <row r="166" spans="1:6" x14ac:dyDescent="0.2">
      <c r="A166" s="6" t="s">
        <v>1164</v>
      </c>
      <c r="B166" s="10" t="s">
        <v>878</v>
      </c>
      <c r="C166" s="16">
        <v>274.52999999999997</v>
      </c>
      <c r="D166" s="16">
        <v>337.91</v>
      </c>
      <c r="E166" s="16">
        <v>284.74</v>
      </c>
      <c r="F166" s="16">
        <f t="shared" si="3"/>
        <v>897.18000000000006</v>
      </c>
    </row>
    <row r="167" spans="1:6" x14ac:dyDescent="0.2">
      <c r="A167" s="6" t="s">
        <v>1165</v>
      </c>
      <c r="B167" s="10" t="s">
        <v>879</v>
      </c>
      <c r="C167" s="16">
        <v>792.52</v>
      </c>
      <c r="D167" s="16">
        <v>947.95</v>
      </c>
      <c r="E167" s="16">
        <v>1080.9100000000001</v>
      </c>
      <c r="F167" s="16">
        <f t="shared" si="3"/>
        <v>2821.38</v>
      </c>
    </row>
    <row r="168" spans="1:6" x14ac:dyDescent="0.2">
      <c r="A168" s="6" t="s">
        <v>1166</v>
      </c>
      <c r="B168" s="10" t="s">
        <v>880</v>
      </c>
      <c r="C168" s="16">
        <v>0</v>
      </c>
      <c r="D168" s="16">
        <v>305.60000000000002</v>
      </c>
      <c r="E168" s="16">
        <v>0</v>
      </c>
      <c r="F168" s="16">
        <f t="shared" si="3"/>
        <v>305.60000000000002</v>
      </c>
    </row>
    <row r="169" spans="1:6" x14ac:dyDescent="0.2">
      <c r="A169" s="6" t="s">
        <v>1167</v>
      </c>
      <c r="B169" s="10" t="s">
        <v>881</v>
      </c>
      <c r="C169" s="16">
        <v>1366.73</v>
      </c>
      <c r="D169" s="16">
        <v>1689.34</v>
      </c>
      <c r="E169" s="16">
        <v>1805.42</v>
      </c>
      <c r="F169" s="16">
        <f t="shared" si="3"/>
        <v>4861.49</v>
      </c>
    </row>
    <row r="170" spans="1:6" x14ac:dyDescent="0.2">
      <c r="A170" s="6" t="s">
        <v>1168</v>
      </c>
      <c r="B170" s="10" t="s">
        <v>882</v>
      </c>
      <c r="C170" s="16">
        <v>2049</v>
      </c>
      <c r="D170" s="16">
        <v>1626.84</v>
      </c>
      <c r="E170" s="16">
        <v>2393.5</v>
      </c>
      <c r="F170" s="16">
        <f t="shared" si="3"/>
        <v>6069.34</v>
      </c>
    </row>
    <row r="171" spans="1:6" x14ac:dyDescent="0.2">
      <c r="A171" s="6" t="s">
        <v>1169</v>
      </c>
      <c r="B171" s="10" t="s">
        <v>883</v>
      </c>
      <c r="C171" s="16">
        <v>1712.56</v>
      </c>
      <c r="D171" s="16">
        <v>994.61</v>
      </c>
      <c r="E171" s="16">
        <v>86.94</v>
      </c>
      <c r="F171" s="16">
        <f t="shared" si="3"/>
        <v>2794.11</v>
      </c>
    </row>
    <row r="172" spans="1:6" x14ac:dyDescent="0.2">
      <c r="A172" s="6" t="s">
        <v>1170</v>
      </c>
      <c r="B172" s="10" t="s">
        <v>884</v>
      </c>
      <c r="C172" s="16">
        <v>225.98</v>
      </c>
      <c r="D172" s="16">
        <v>0</v>
      </c>
      <c r="E172" s="16">
        <v>82.9</v>
      </c>
      <c r="F172" s="16">
        <f t="shared" si="3"/>
        <v>308.88</v>
      </c>
    </row>
    <row r="173" spans="1:6" x14ac:dyDescent="0.2">
      <c r="A173" s="6" t="s">
        <v>1171</v>
      </c>
      <c r="B173" s="10" t="s">
        <v>885</v>
      </c>
      <c r="C173" s="16">
        <v>221.72</v>
      </c>
      <c r="D173" s="16">
        <v>221.72</v>
      </c>
      <c r="E173" s="16">
        <v>692.04</v>
      </c>
      <c r="F173" s="16">
        <f t="shared" si="3"/>
        <v>1135.48</v>
      </c>
    </row>
    <row r="174" spans="1:6" x14ac:dyDescent="0.2">
      <c r="A174" s="6" t="s">
        <v>1172</v>
      </c>
      <c r="B174" s="10" t="s">
        <v>886</v>
      </c>
      <c r="C174" s="16">
        <v>7.93</v>
      </c>
      <c r="D174" s="16">
        <v>19.489999999999998</v>
      </c>
      <c r="E174" s="16">
        <v>0</v>
      </c>
      <c r="F174" s="16">
        <f t="shared" si="3"/>
        <v>27.419999999999998</v>
      </c>
    </row>
    <row r="175" spans="1:6" x14ac:dyDescent="0.2">
      <c r="A175" s="6" t="s">
        <v>1173</v>
      </c>
      <c r="B175" s="10" t="s">
        <v>887</v>
      </c>
      <c r="C175" s="16">
        <v>1281.26</v>
      </c>
      <c r="D175" s="16">
        <v>2639.27</v>
      </c>
      <c r="E175" s="16">
        <v>3160.08</v>
      </c>
      <c r="F175" s="16">
        <f t="shared" si="3"/>
        <v>7080.61</v>
      </c>
    </row>
    <row r="176" spans="1:6" x14ac:dyDescent="0.2">
      <c r="A176" s="6" t="s">
        <v>1174</v>
      </c>
      <c r="B176" s="9" t="s">
        <v>888</v>
      </c>
      <c r="C176" s="15"/>
      <c r="D176" s="15"/>
      <c r="E176" s="15"/>
      <c r="F176" s="15"/>
    </row>
    <row r="177" spans="1:6" x14ac:dyDescent="0.2">
      <c r="A177" s="6" t="s">
        <v>397</v>
      </c>
      <c r="B177" s="10" t="s">
        <v>889</v>
      </c>
      <c r="C177" s="16">
        <v>30.35</v>
      </c>
      <c r="D177" s="16">
        <v>4.79</v>
      </c>
      <c r="E177" s="16">
        <v>0</v>
      </c>
      <c r="F177" s="16">
        <f>SUM(C177:E177)</f>
        <v>35.14</v>
      </c>
    </row>
    <row r="178" spans="1:6" x14ac:dyDescent="0.2">
      <c r="A178" s="6" t="s">
        <v>1175</v>
      </c>
      <c r="B178" s="10" t="s">
        <v>890</v>
      </c>
      <c r="C178" s="16">
        <v>10510</v>
      </c>
      <c r="D178" s="16">
        <v>12226.26</v>
      </c>
      <c r="E178" s="16">
        <v>12914.19</v>
      </c>
      <c r="F178" s="16">
        <f>SUM(C178:E178)</f>
        <v>35650.450000000004</v>
      </c>
    </row>
    <row r="179" spans="1:6" x14ac:dyDescent="0.2">
      <c r="A179" s="6" t="s">
        <v>1071</v>
      </c>
      <c r="B179" s="11" t="s">
        <v>891</v>
      </c>
      <c r="C179" s="17">
        <f>SUM(C177:C178)</f>
        <v>10540.35</v>
      </c>
      <c r="D179" s="17">
        <f>SUM(D177:D178)</f>
        <v>12231.050000000001</v>
      </c>
      <c r="E179" s="32">
        <f>SUM(E177:E178)</f>
        <v>12914.19</v>
      </c>
      <c r="F179" s="17">
        <f>SUM(F177:F178)</f>
        <v>35685.590000000004</v>
      </c>
    </row>
    <row r="180" spans="1:6" x14ac:dyDescent="0.2">
      <c r="A180" s="6" t="s">
        <v>1176</v>
      </c>
      <c r="B180" s="10" t="s">
        <v>892</v>
      </c>
      <c r="C180" s="16">
        <v>389.9</v>
      </c>
      <c r="D180" s="16">
        <v>217.48</v>
      </c>
      <c r="E180" s="16">
        <v>299.8</v>
      </c>
      <c r="F180" s="16">
        <f t="shared" ref="F180:F198" si="4">SUM(C180:E180)</f>
        <v>907.18000000000006</v>
      </c>
    </row>
    <row r="181" spans="1:6" x14ac:dyDescent="0.2">
      <c r="A181" s="6" t="s">
        <v>1177</v>
      </c>
      <c r="B181" s="10" t="s">
        <v>893</v>
      </c>
      <c r="C181" s="16">
        <v>21.64</v>
      </c>
      <c r="D181" s="16">
        <v>21.64</v>
      </c>
      <c r="E181" s="16">
        <v>300</v>
      </c>
      <c r="F181" s="16">
        <f t="shared" si="4"/>
        <v>343.28</v>
      </c>
    </row>
    <row r="182" spans="1:6" x14ac:dyDescent="0.2">
      <c r="A182" s="6" t="s">
        <v>1178</v>
      </c>
      <c r="B182" s="10" t="s">
        <v>894</v>
      </c>
      <c r="C182" s="16">
        <v>1405.36</v>
      </c>
      <c r="D182" s="16">
        <v>1185.22</v>
      </c>
      <c r="E182" s="16">
        <v>1379.05</v>
      </c>
      <c r="F182" s="16">
        <f t="shared" si="4"/>
        <v>3969.63</v>
      </c>
    </row>
    <row r="183" spans="1:6" x14ac:dyDescent="0.2">
      <c r="A183" s="6" t="s">
        <v>1179</v>
      </c>
      <c r="B183" s="10" t="s">
        <v>895</v>
      </c>
      <c r="C183" s="16">
        <v>266</v>
      </c>
      <c r="D183" s="16">
        <v>266</v>
      </c>
      <c r="E183" s="16">
        <v>266</v>
      </c>
      <c r="F183" s="16">
        <f t="shared" si="4"/>
        <v>798</v>
      </c>
    </row>
    <row r="184" spans="1:6" x14ac:dyDescent="0.2">
      <c r="A184" s="6" t="s">
        <v>1180</v>
      </c>
      <c r="B184" s="10" t="s">
        <v>896</v>
      </c>
      <c r="C184" s="16">
        <v>291.82</v>
      </c>
      <c r="D184" s="16">
        <v>219.65</v>
      </c>
      <c r="E184" s="16">
        <v>185.76</v>
      </c>
      <c r="F184" s="16">
        <f t="shared" si="4"/>
        <v>697.23</v>
      </c>
    </row>
    <row r="185" spans="1:6" x14ac:dyDescent="0.2">
      <c r="A185" s="6" t="s">
        <v>1181</v>
      </c>
      <c r="B185" s="10" t="s">
        <v>897</v>
      </c>
      <c r="C185" s="16">
        <v>576.78</v>
      </c>
      <c r="D185" s="16">
        <v>149.1</v>
      </c>
      <c r="E185" s="16">
        <v>695.36</v>
      </c>
      <c r="F185" s="16">
        <f t="shared" si="4"/>
        <v>1421.24</v>
      </c>
    </row>
    <row r="186" spans="1:6" x14ac:dyDescent="0.2">
      <c r="A186" s="6" t="s">
        <v>1182</v>
      </c>
      <c r="B186" s="10" t="s">
        <v>898</v>
      </c>
      <c r="C186" s="16">
        <v>11.03</v>
      </c>
      <c r="D186" s="16">
        <v>50.38</v>
      </c>
      <c r="E186" s="16">
        <v>60.79</v>
      </c>
      <c r="F186" s="16">
        <f t="shared" si="4"/>
        <v>122.2</v>
      </c>
    </row>
    <row r="187" spans="1:6" x14ac:dyDescent="0.2">
      <c r="A187" s="6" t="s">
        <v>1183</v>
      </c>
      <c r="B187" s="10" t="s">
        <v>899</v>
      </c>
      <c r="C187" s="16">
        <v>23268.16</v>
      </c>
      <c r="D187" s="16">
        <v>20178.28</v>
      </c>
      <c r="E187" s="16">
        <v>30150.55</v>
      </c>
      <c r="F187" s="16">
        <f t="shared" si="4"/>
        <v>73596.990000000005</v>
      </c>
    </row>
    <row r="188" spans="1:6" x14ac:dyDescent="0.2">
      <c r="A188" s="6" t="s">
        <v>1184</v>
      </c>
      <c r="B188" s="10" t="s">
        <v>900</v>
      </c>
      <c r="C188" s="16">
        <v>227.2</v>
      </c>
      <c r="D188" s="16">
        <v>-454.4</v>
      </c>
      <c r="E188" s="16">
        <v>227.2</v>
      </c>
      <c r="F188" s="16">
        <f t="shared" si="4"/>
        <v>0</v>
      </c>
    </row>
    <row r="189" spans="1:6" x14ac:dyDescent="0.2">
      <c r="A189" s="6" t="s">
        <v>1185</v>
      </c>
      <c r="B189" s="10" t="s">
        <v>901</v>
      </c>
      <c r="C189" s="16">
        <v>0</v>
      </c>
      <c r="D189" s="16">
        <v>419.61</v>
      </c>
      <c r="E189" s="16">
        <v>0</v>
      </c>
      <c r="F189" s="16">
        <f t="shared" si="4"/>
        <v>419.61</v>
      </c>
    </row>
    <row r="190" spans="1:6" x14ac:dyDescent="0.2">
      <c r="A190" s="6" t="s">
        <v>1186</v>
      </c>
      <c r="B190" s="10" t="s">
        <v>902</v>
      </c>
      <c r="C190" s="16">
        <v>0</v>
      </c>
      <c r="D190" s="16">
        <v>32.25</v>
      </c>
      <c r="E190" s="16">
        <v>0</v>
      </c>
      <c r="F190" s="16">
        <f t="shared" si="4"/>
        <v>32.25</v>
      </c>
    </row>
    <row r="191" spans="1:6" x14ac:dyDescent="0.2">
      <c r="A191" s="6" t="s">
        <v>1187</v>
      </c>
      <c r="B191" s="10" t="s">
        <v>903</v>
      </c>
      <c r="C191" s="16">
        <v>0</v>
      </c>
      <c r="D191" s="16">
        <v>0</v>
      </c>
      <c r="E191" s="16">
        <v>152.37</v>
      </c>
      <c r="F191" s="16">
        <f t="shared" si="4"/>
        <v>152.37</v>
      </c>
    </row>
    <row r="192" spans="1:6" x14ac:dyDescent="0.2">
      <c r="A192" s="6" t="s">
        <v>1188</v>
      </c>
      <c r="B192" s="10" t="s">
        <v>904</v>
      </c>
      <c r="C192" s="16">
        <v>648.69000000000005</v>
      </c>
      <c r="D192" s="16">
        <v>648.69000000000005</v>
      </c>
      <c r="E192" s="16">
        <v>648.69000000000005</v>
      </c>
      <c r="F192" s="16">
        <f t="shared" si="4"/>
        <v>1946.0700000000002</v>
      </c>
    </row>
    <row r="193" spans="1:6" x14ac:dyDescent="0.2">
      <c r="A193" s="6" t="s">
        <v>1189</v>
      </c>
      <c r="B193" s="10" t="s">
        <v>905</v>
      </c>
      <c r="C193" s="16">
        <v>726.27</v>
      </c>
      <c r="D193" s="16">
        <v>746.72</v>
      </c>
      <c r="E193" s="16">
        <v>746.72</v>
      </c>
      <c r="F193" s="16">
        <f t="shared" si="4"/>
        <v>2219.71</v>
      </c>
    </row>
    <row r="194" spans="1:6" x14ac:dyDescent="0.2">
      <c r="A194" s="6" t="s">
        <v>1190</v>
      </c>
      <c r="B194" s="10" t="s">
        <v>906</v>
      </c>
      <c r="C194" s="16">
        <v>0</v>
      </c>
      <c r="D194" s="16">
        <v>4339.24</v>
      </c>
      <c r="E194" s="16">
        <v>1022.74</v>
      </c>
      <c r="F194" s="16">
        <f t="shared" si="4"/>
        <v>5361.98</v>
      </c>
    </row>
    <row r="195" spans="1:6" x14ac:dyDescent="0.2">
      <c r="A195" s="6" t="s">
        <v>1191</v>
      </c>
      <c r="B195" s="10" t="s">
        <v>907</v>
      </c>
      <c r="C195" s="16">
        <v>3249.1</v>
      </c>
      <c r="D195" s="16">
        <v>3339.3</v>
      </c>
      <c r="E195" s="16">
        <v>3108.74</v>
      </c>
      <c r="F195" s="16">
        <f t="shared" si="4"/>
        <v>9697.14</v>
      </c>
    </row>
    <row r="196" spans="1:6" x14ac:dyDescent="0.2">
      <c r="A196" s="6" t="s">
        <v>1192</v>
      </c>
      <c r="B196" s="10" t="s">
        <v>908</v>
      </c>
      <c r="C196" s="16">
        <v>450.78</v>
      </c>
      <c r="D196" s="16">
        <v>451.93</v>
      </c>
      <c r="E196" s="16">
        <v>451.35</v>
      </c>
      <c r="F196" s="16">
        <f t="shared" si="4"/>
        <v>1354.06</v>
      </c>
    </row>
    <row r="197" spans="1:6" x14ac:dyDescent="0.2">
      <c r="A197" s="6" t="s">
        <v>1193</v>
      </c>
      <c r="B197" s="10" t="s">
        <v>909</v>
      </c>
      <c r="C197" s="16">
        <v>550</v>
      </c>
      <c r="D197" s="16">
        <v>550</v>
      </c>
      <c r="E197" s="16">
        <v>550</v>
      </c>
      <c r="F197" s="16">
        <f t="shared" si="4"/>
        <v>1650</v>
      </c>
    </row>
    <row r="198" spans="1:6" x14ac:dyDescent="0.2">
      <c r="A198" s="6" t="s">
        <v>1194</v>
      </c>
      <c r="B198" s="10" t="s">
        <v>910</v>
      </c>
      <c r="C198" s="16">
        <v>1156.73</v>
      </c>
      <c r="D198" s="16">
        <v>2099.39</v>
      </c>
      <c r="E198" s="16">
        <v>1156.73</v>
      </c>
      <c r="F198" s="16">
        <f t="shared" si="4"/>
        <v>4412.8500000000004</v>
      </c>
    </row>
    <row r="199" spans="1:6" x14ac:dyDescent="0.2">
      <c r="A199" s="6" t="s">
        <v>1195</v>
      </c>
      <c r="B199" s="9" t="s">
        <v>911</v>
      </c>
      <c r="C199" s="15"/>
      <c r="D199" s="15"/>
      <c r="E199" s="15"/>
      <c r="F199" s="15"/>
    </row>
    <row r="200" spans="1:6" x14ac:dyDescent="0.2">
      <c r="A200" s="6" t="s">
        <v>1196</v>
      </c>
      <c r="B200" s="10" t="s">
        <v>912</v>
      </c>
      <c r="C200" s="16">
        <v>13317.18</v>
      </c>
      <c r="D200" s="16">
        <v>5038.9399999999996</v>
      </c>
      <c r="E200" s="16">
        <v>13842.67</v>
      </c>
      <c r="F200" s="16">
        <f>SUM(C200:E200)</f>
        <v>32198.79</v>
      </c>
    </row>
    <row r="201" spans="1:6" x14ac:dyDescent="0.2">
      <c r="A201" s="6" t="s">
        <v>1071</v>
      </c>
      <c r="B201" s="11" t="s">
        <v>913</v>
      </c>
      <c r="C201" s="17">
        <f>SUM(C200)</f>
        <v>13317.18</v>
      </c>
      <c r="D201" s="17">
        <f>SUM(D200)</f>
        <v>5038.9399999999996</v>
      </c>
      <c r="E201" s="33">
        <f>SUM(E200)</f>
        <v>13842.67</v>
      </c>
      <c r="F201" s="17">
        <f>SUM(F200)</f>
        <v>32198.79</v>
      </c>
    </row>
    <row r="202" spans="1:6" x14ac:dyDescent="0.2">
      <c r="A202" s="6" t="s">
        <v>1197</v>
      </c>
      <c r="B202" s="9" t="s">
        <v>914</v>
      </c>
      <c r="C202" s="15"/>
      <c r="D202" s="15"/>
      <c r="E202" s="15"/>
      <c r="F202" s="15"/>
    </row>
    <row r="203" spans="1:6" x14ac:dyDescent="0.2">
      <c r="A203" s="6" t="s">
        <v>1198</v>
      </c>
      <c r="B203" s="10" t="s">
        <v>915</v>
      </c>
      <c r="C203" s="16">
        <v>5261.68</v>
      </c>
      <c r="D203" s="16">
        <v>4995.18</v>
      </c>
      <c r="E203" s="16">
        <v>3890.41</v>
      </c>
      <c r="F203" s="16">
        <f>SUM(C203:E203)</f>
        <v>14147.27</v>
      </c>
    </row>
    <row r="204" spans="1:6" x14ac:dyDescent="0.2">
      <c r="A204" s="6" t="s">
        <v>1071</v>
      </c>
      <c r="B204" s="11" t="s">
        <v>916</v>
      </c>
      <c r="C204" s="17">
        <f>SUM(C203)</f>
        <v>5261.68</v>
      </c>
      <c r="D204" s="17">
        <f>SUM(D203)</f>
        <v>4995.18</v>
      </c>
      <c r="E204" s="33">
        <f>SUM(E203)</f>
        <v>3890.41</v>
      </c>
      <c r="F204" s="17">
        <f>SUM(F203)</f>
        <v>14147.27</v>
      </c>
    </row>
    <row r="205" spans="1:6" x14ac:dyDescent="0.2">
      <c r="A205" s="6" t="s">
        <v>1199</v>
      </c>
      <c r="B205" s="9" t="s">
        <v>917</v>
      </c>
      <c r="C205" s="15"/>
      <c r="D205" s="15"/>
      <c r="E205" s="15"/>
      <c r="F205" s="15"/>
    </row>
    <row r="206" spans="1:6" x14ac:dyDescent="0.2">
      <c r="A206" s="6" t="s">
        <v>1200</v>
      </c>
      <c r="B206" s="10" t="s">
        <v>918</v>
      </c>
      <c r="C206" s="16">
        <v>7707.81</v>
      </c>
      <c r="D206" s="16">
        <v>7472.68</v>
      </c>
      <c r="E206" s="34">
        <v>8993.39</v>
      </c>
      <c r="F206" s="16">
        <f>SUM(C206:E206)</f>
        <v>24173.88</v>
      </c>
    </row>
    <row r="207" spans="1:6" x14ac:dyDescent="0.2">
      <c r="A207" s="6" t="s">
        <v>1071</v>
      </c>
      <c r="B207" s="11" t="s">
        <v>919</v>
      </c>
      <c r="C207" s="17">
        <f>SUM(C206)</f>
        <v>7707.81</v>
      </c>
      <c r="D207" s="17">
        <f>SUM(D206)</f>
        <v>7472.68</v>
      </c>
      <c r="E207" s="17">
        <f>SUM(E206)</f>
        <v>8993.39</v>
      </c>
      <c r="F207" s="17">
        <f>SUM(F206)</f>
        <v>24173.88</v>
      </c>
    </row>
    <row r="208" spans="1:6" x14ac:dyDescent="0.2">
      <c r="A208" s="6" t="s">
        <v>1201</v>
      </c>
      <c r="B208" s="10" t="s">
        <v>920</v>
      </c>
      <c r="C208" s="16">
        <v>2315.94</v>
      </c>
      <c r="D208" s="16">
        <v>1976.46</v>
      </c>
      <c r="E208" s="16">
        <v>2172.33</v>
      </c>
      <c r="F208" s="16">
        <f t="shared" ref="F208:F214" si="5">SUM(C208:E208)</f>
        <v>6464.73</v>
      </c>
    </row>
    <row r="209" spans="1:6" x14ac:dyDescent="0.2">
      <c r="A209" s="6" t="s">
        <v>1202</v>
      </c>
      <c r="B209" s="10" t="s">
        <v>921</v>
      </c>
      <c r="C209" s="16">
        <v>3018.21</v>
      </c>
      <c r="D209" s="16">
        <v>4428.8599999999997</v>
      </c>
      <c r="E209" s="16">
        <v>4672.97</v>
      </c>
      <c r="F209" s="16">
        <f t="shared" si="5"/>
        <v>12120.04</v>
      </c>
    </row>
    <row r="210" spans="1:6" x14ac:dyDescent="0.2">
      <c r="A210" s="6" t="s">
        <v>1203</v>
      </c>
      <c r="B210" s="10" t="s">
        <v>922</v>
      </c>
      <c r="C210" s="16">
        <v>837.94</v>
      </c>
      <c r="D210" s="16">
        <v>483.72</v>
      </c>
      <c r="E210" s="16">
        <v>430.59</v>
      </c>
      <c r="F210" s="16">
        <f t="shared" si="5"/>
        <v>1752.25</v>
      </c>
    </row>
    <row r="211" spans="1:6" x14ac:dyDescent="0.2">
      <c r="A211" s="6" t="s">
        <v>1204</v>
      </c>
      <c r="B211" s="10" t="s">
        <v>923</v>
      </c>
      <c r="C211" s="16">
        <v>2542.56</v>
      </c>
      <c r="D211" s="16">
        <v>9428.17</v>
      </c>
      <c r="E211" s="16">
        <v>4548.3900000000003</v>
      </c>
      <c r="F211" s="16">
        <f t="shared" si="5"/>
        <v>16519.12</v>
      </c>
    </row>
    <row r="212" spans="1:6" x14ac:dyDescent="0.2">
      <c r="A212" s="6" t="s">
        <v>1205</v>
      </c>
      <c r="B212" s="10" t="s">
        <v>924</v>
      </c>
      <c r="C212" s="16">
        <v>-574.82000000000005</v>
      </c>
      <c r="D212" s="16">
        <v>-257.01</v>
      </c>
      <c r="E212" s="16">
        <v>257.01</v>
      </c>
      <c r="F212" s="16">
        <f t="shared" si="5"/>
        <v>-574.82000000000005</v>
      </c>
    </row>
    <row r="213" spans="1:6" x14ac:dyDescent="0.2">
      <c r="A213" s="6" t="s">
        <v>1206</v>
      </c>
      <c r="B213" s="10" t="s">
        <v>925</v>
      </c>
      <c r="C213" s="16">
        <v>5</v>
      </c>
      <c r="D213" s="16">
        <v>1220.24</v>
      </c>
      <c r="E213" s="16">
        <v>5</v>
      </c>
      <c r="F213" s="16">
        <f t="shared" si="5"/>
        <v>1230.24</v>
      </c>
    </row>
    <row r="214" spans="1:6" x14ac:dyDescent="0.2">
      <c r="A214" s="6" t="s">
        <v>1207</v>
      </c>
      <c r="B214" s="10" t="s">
        <v>926</v>
      </c>
      <c r="C214" s="16">
        <v>52.24</v>
      </c>
      <c r="D214" s="16">
        <v>120.37</v>
      </c>
      <c r="E214" s="16">
        <v>76.23</v>
      </c>
      <c r="F214" s="16">
        <f t="shared" si="5"/>
        <v>248.84000000000003</v>
      </c>
    </row>
    <row r="215" spans="1:6" x14ac:dyDescent="0.2">
      <c r="A215" s="6" t="s">
        <v>1208</v>
      </c>
      <c r="B215" s="9" t="s">
        <v>927</v>
      </c>
      <c r="C215" s="15"/>
      <c r="D215" s="15"/>
      <c r="E215" s="15"/>
      <c r="F215" s="15"/>
    </row>
    <row r="216" spans="1:6" x14ac:dyDescent="0.2">
      <c r="A216" s="6" t="s">
        <v>1209</v>
      </c>
      <c r="B216" s="10" t="s">
        <v>928</v>
      </c>
      <c r="C216" s="16">
        <v>7940.74</v>
      </c>
      <c r="D216" s="16">
        <v>10739.56</v>
      </c>
      <c r="E216" s="16">
        <v>11020.91</v>
      </c>
      <c r="F216" s="16">
        <f>SUM(C216:E216)</f>
        <v>29701.21</v>
      </c>
    </row>
    <row r="217" spans="1:6" x14ac:dyDescent="0.2">
      <c r="A217" s="6" t="s">
        <v>1210</v>
      </c>
      <c r="B217" s="10" t="s">
        <v>929</v>
      </c>
      <c r="C217" s="16">
        <v>70.17</v>
      </c>
      <c r="D217" s="16">
        <v>61.16</v>
      </c>
      <c r="E217" s="16">
        <v>0</v>
      </c>
      <c r="F217" s="16">
        <f>SUM(C217:E217)</f>
        <v>131.32999999999998</v>
      </c>
    </row>
    <row r="218" spans="1:6" x14ac:dyDescent="0.2">
      <c r="A218" s="6" t="s">
        <v>1211</v>
      </c>
      <c r="B218" s="10" t="s">
        <v>930</v>
      </c>
      <c r="C218" s="16">
        <v>25108.95</v>
      </c>
      <c r="D218" s="16">
        <v>31424.62</v>
      </c>
      <c r="E218" s="16">
        <v>27479.39</v>
      </c>
      <c r="F218" s="16">
        <f>SUM(C218:E218)</f>
        <v>84012.959999999992</v>
      </c>
    </row>
    <row r="219" spans="1:6" x14ac:dyDescent="0.2">
      <c r="A219" s="6" t="s">
        <v>1071</v>
      </c>
      <c r="B219" s="11" t="s">
        <v>931</v>
      </c>
      <c r="C219" s="17">
        <f>SUM(C216:C218)</f>
        <v>33119.86</v>
      </c>
      <c r="D219" s="17">
        <f>SUM(D216:D218)</f>
        <v>42225.34</v>
      </c>
      <c r="E219" s="17">
        <f>SUM(E216:E218)</f>
        <v>38500.300000000003</v>
      </c>
      <c r="F219" s="17">
        <f>SUM(F216:F218)</f>
        <v>113845.5</v>
      </c>
    </row>
    <row r="220" spans="1:6" x14ac:dyDescent="0.2">
      <c r="A220" s="6" t="s">
        <v>1212</v>
      </c>
      <c r="B220" s="10" t="s">
        <v>932</v>
      </c>
      <c r="C220" s="16">
        <v>3467.55</v>
      </c>
      <c r="D220" s="16">
        <v>4470.25</v>
      </c>
      <c r="E220" s="35">
        <v>3467.55</v>
      </c>
      <c r="F220" s="16">
        <f t="shared" ref="F220:F232" si="6">SUM(C220:E220)</f>
        <v>11405.35</v>
      </c>
    </row>
    <row r="221" spans="1:6" x14ac:dyDescent="0.2">
      <c r="A221" s="6" t="s">
        <v>1213</v>
      </c>
      <c r="B221" s="10" t="s">
        <v>933</v>
      </c>
      <c r="C221" s="16">
        <v>-1183</v>
      </c>
      <c r="D221" s="16">
        <v>0</v>
      </c>
      <c r="E221" s="16">
        <v>-1052.5</v>
      </c>
      <c r="F221" s="16">
        <f t="shared" si="6"/>
        <v>-2235.5</v>
      </c>
    </row>
    <row r="222" spans="1:6" x14ac:dyDescent="0.2">
      <c r="A222" s="6" t="s">
        <v>1214</v>
      </c>
      <c r="B222" s="10" t="s">
        <v>934</v>
      </c>
      <c r="C222" s="16">
        <v>945.05</v>
      </c>
      <c r="D222" s="16">
        <v>1306.97</v>
      </c>
      <c r="E222" s="16">
        <v>1083.72</v>
      </c>
      <c r="F222" s="16">
        <f t="shared" si="6"/>
        <v>3335.74</v>
      </c>
    </row>
    <row r="223" spans="1:6" x14ac:dyDescent="0.2">
      <c r="A223" s="6" t="s">
        <v>1215</v>
      </c>
      <c r="B223" s="10" t="s">
        <v>935</v>
      </c>
      <c r="C223" s="16">
        <v>2183.9499999999998</v>
      </c>
      <c r="D223" s="16">
        <v>3333.96</v>
      </c>
      <c r="E223" s="16">
        <v>1931.39</v>
      </c>
      <c r="F223" s="16">
        <f t="shared" si="6"/>
        <v>7449.3</v>
      </c>
    </row>
    <row r="224" spans="1:6" x14ac:dyDescent="0.2">
      <c r="A224" s="6" t="s">
        <v>1216</v>
      </c>
      <c r="B224" s="10" t="s">
        <v>936</v>
      </c>
      <c r="C224" s="16">
        <v>-388</v>
      </c>
      <c r="D224" s="16">
        <v>0</v>
      </c>
      <c r="E224" s="16">
        <v>170</v>
      </c>
      <c r="F224" s="16">
        <f t="shared" si="6"/>
        <v>-218</v>
      </c>
    </row>
    <row r="225" spans="1:6" x14ac:dyDescent="0.2">
      <c r="A225" s="6" t="s">
        <v>1217</v>
      </c>
      <c r="B225" s="10" t="s">
        <v>937</v>
      </c>
      <c r="C225" s="16">
        <v>272.73</v>
      </c>
      <c r="D225" s="16">
        <v>231.22</v>
      </c>
      <c r="E225" s="16">
        <v>202.4</v>
      </c>
      <c r="F225" s="16">
        <f t="shared" si="6"/>
        <v>706.35</v>
      </c>
    </row>
    <row r="226" spans="1:6" x14ac:dyDescent="0.2">
      <c r="A226" s="6" t="s">
        <v>1218</v>
      </c>
      <c r="B226" s="10" t="s">
        <v>938</v>
      </c>
      <c r="C226" s="16">
        <v>27.61</v>
      </c>
      <c r="D226" s="16">
        <v>0</v>
      </c>
      <c r="E226" s="16">
        <v>0</v>
      </c>
      <c r="F226" s="16">
        <f t="shared" si="6"/>
        <v>27.61</v>
      </c>
    </row>
    <row r="227" spans="1:6" x14ac:dyDescent="0.2">
      <c r="A227" s="6" t="s">
        <v>1219</v>
      </c>
      <c r="B227" s="10" t="s">
        <v>939</v>
      </c>
      <c r="C227" s="16">
        <v>2753.86</v>
      </c>
      <c r="D227" s="16">
        <v>2883.32</v>
      </c>
      <c r="E227" s="16">
        <v>3075.32</v>
      </c>
      <c r="F227" s="16">
        <f t="shared" si="6"/>
        <v>8712.5</v>
      </c>
    </row>
    <row r="228" spans="1:6" x14ac:dyDescent="0.2">
      <c r="A228" s="6" t="s">
        <v>1220</v>
      </c>
      <c r="B228" s="10" t="s">
        <v>940</v>
      </c>
      <c r="C228" s="16">
        <v>823.73</v>
      </c>
      <c r="D228" s="16">
        <v>-105.25</v>
      </c>
      <c r="E228" s="16">
        <v>528.59</v>
      </c>
      <c r="F228" s="16">
        <f t="shared" si="6"/>
        <v>1247.0700000000002</v>
      </c>
    </row>
    <row r="229" spans="1:6" x14ac:dyDescent="0.2">
      <c r="A229" s="6" t="s">
        <v>1221</v>
      </c>
      <c r="B229" s="10" t="s">
        <v>941</v>
      </c>
      <c r="C229" s="16">
        <v>3474.38</v>
      </c>
      <c r="D229" s="16">
        <v>2821.67</v>
      </c>
      <c r="E229" s="16">
        <v>4219.38</v>
      </c>
      <c r="F229" s="16">
        <f t="shared" si="6"/>
        <v>10515.43</v>
      </c>
    </row>
    <row r="230" spans="1:6" x14ac:dyDescent="0.2">
      <c r="A230" s="6" t="s">
        <v>1222</v>
      </c>
      <c r="B230" s="10" t="s">
        <v>942</v>
      </c>
      <c r="C230" s="16">
        <v>267.5</v>
      </c>
      <c r="D230" s="16">
        <v>267.5</v>
      </c>
      <c r="E230" s="16">
        <v>267.5</v>
      </c>
      <c r="F230" s="16">
        <f t="shared" si="6"/>
        <v>802.5</v>
      </c>
    </row>
    <row r="231" spans="1:6" x14ac:dyDescent="0.2">
      <c r="A231" s="6" t="s">
        <v>1223</v>
      </c>
      <c r="B231" s="10" t="s">
        <v>943</v>
      </c>
      <c r="C231" s="16">
        <v>0</v>
      </c>
      <c r="D231" s="16">
        <v>0</v>
      </c>
      <c r="E231" s="16">
        <v>108.87</v>
      </c>
      <c r="F231" s="16">
        <f t="shared" si="6"/>
        <v>108.87</v>
      </c>
    </row>
    <row r="232" spans="1:6" x14ac:dyDescent="0.2">
      <c r="A232" s="6" t="s">
        <v>1224</v>
      </c>
      <c r="B232" s="10" t="s">
        <v>944</v>
      </c>
      <c r="C232" s="16">
        <v>167.88</v>
      </c>
      <c r="D232" s="16">
        <v>4.79</v>
      </c>
      <c r="E232" s="16">
        <v>53.6</v>
      </c>
      <c r="F232" s="16">
        <f t="shared" si="6"/>
        <v>226.26999999999998</v>
      </c>
    </row>
    <row r="233" spans="1:6" x14ac:dyDescent="0.2">
      <c r="A233" s="6" t="s">
        <v>1225</v>
      </c>
      <c r="B233" s="9" t="s">
        <v>945</v>
      </c>
      <c r="C233" s="15"/>
      <c r="D233" s="15"/>
      <c r="E233" s="15"/>
      <c r="F233" s="15"/>
    </row>
    <row r="234" spans="1:6" x14ac:dyDescent="0.2">
      <c r="A234" s="6" t="s">
        <v>1226</v>
      </c>
      <c r="B234" s="10" t="s">
        <v>946</v>
      </c>
      <c r="C234" s="16">
        <v>11497.25</v>
      </c>
      <c r="D234" s="16">
        <v>10607.15</v>
      </c>
      <c r="E234" s="16">
        <v>7862.65</v>
      </c>
      <c r="F234" s="16">
        <f>SUM(C234:E234)</f>
        <v>29967.050000000003</v>
      </c>
    </row>
    <row r="235" spans="1:6" x14ac:dyDescent="0.2">
      <c r="A235" s="6" t="s">
        <v>1071</v>
      </c>
      <c r="B235" s="11" t="s">
        <v>947</v>
      </c>
      <c r="C235" s="17">
        <f>SUM(C234)</f>
        <v>11497.25</v>
      </c>
      <c r="D235" s="17">
        <f>SUM(D234)</f>
        <v>10607.15</v>
      </c>
      <c r="E235" s="36">
        <f>SUM(E234)</f>
        <v>7862.65</v>
      </c>
      <c r="F235" s="17">
        <f>SUM(F234)</f>
        <v>29967.050000000003</v>
      </c>
    </row>
    <row r="236" spans="1:6" x14ac:dyDescent="0.2">
      <c r="A236" s="6" t="s">
        <v>1227</v>
      </c>
      <c r="B236" s="9" t="s">
        <v>948</v>
      </c>
      <c r="C236" s="15"/>
      <c r="D236" s="15"/>
      <c r="E236" s="15"/>
      <c r="F236" s="15"/>
    </row>
    <row r="237" spans="1:6" x14ac:dyDescent="0.2">
      <c r="A237" s="6" t="s">
        <v>1228</v>
      </c>
      <c r="B237" s="10" t="s">
        <v>949</v>
      </c>
      <c r="C237" s="16">
        <v>1631.87</v>
      </c>
      <c r="D237" s="16">
        <v>8802.2000000000007</v>
      </c>
      <c r="E237" s="16">
        <v>7318.69</v>
      </c>
      <c r="F237" s="16">
        <f>SUM(C237:E237)</f>
        <v>17752.759999999998</v>
      </c>
    </row>
    <row r="238" spans="1:6" x14ac:dyDescent="0.2">
      <c r="A238" s="6" t="s">
        <v>1071</v>
      </c>
      <c r="B238" s="11" t="s">
        <v>950</v>
      </c>
      <c r="C238" s="17">
        <f>SUM(C237)</f>
        <v>1631.87</v>
      </c>
      <c r="D238" s="17">
        <f>SUM(D237)</f>
        <v>8802.2000000000007</v>
      </c>
      <c r="E238" s="36">
        <f>SUM(E237)</f>
        <v>7318.69</v>
      </c>
      <c r="F238" s="17">
        <f>SUM(F237)</f>
        <v>17752.759999999998</v>
      </c>
    </row>
    <row r="239" spans="1:6" x14ac:dyDescent="0.2">
      <c r="A239" s="6" t="s">
        <v>1229</v>
      </c>
      <c r="B239" s="9" t="s">
        <v>951</v>
      </c>
      <c r="C239" s="15"/>
      <c r="D239" s="15"/>
      <c r="E239" s="15"/>
      <c r="F239" s="15"/>
    </row>
    <row r="240" spans="1:6" x14ac:dyDescent="0.2">
      <c r="A240" s="6" t="s">
        <v>91</v>
      </c>
      <c r="B240" s="10" t="s">
        <v>952</v>
      </c>
      <c r="C240" s="16">
        <v>19.04</v>
      </c>
      <c r="D240" s="16">
        <v>8.91</v>
      </c>
      <c r="E240" s="16">
        <v>8.35</v>
      </c>
      <c r="F240" s="16">
        <f>SUM(C240:E240)</f>
        <v>36.299999999999997</v>
      </c>
    </row>
    <row r="241" spans="1:6" x14ac:dyDescent="0.2">
      <c r="A241" s="6" t="s">
        <v>1230</v>
      </c>
      <c r="B241" s="10" t="s">
        <v>953</v>
      </c>
      <c r="C241" s="16">
        <v>2906.6</v>
      </c>
      <c r="D241" s="16">
        <v>4963.47</v>
      </c>
      <c r="E241" s="16">
        <v>4668.93</v>
      </c>
      <c r="F241" s="16">
        <f>SUM(C241:E241)</f>
        <v>12539</v>
      </c>
    </row>
    <row r="242" spans="1:6" x14ac:dyDescent="0.2">
      <c r="A242" s="6" t="s">
        <v>1071</v>
      </c>
      <c r="B242" s="11" t="s">
        <v>954</v>
      </c>
      <c r="C242" s="17">
        <f>SUM(C240:C241)</f>
        <v>2925.64</v>
      </c>
      <c r="D242" s="17">
        <f>SUM(D240:D241)</f>
        <v>4972.38</v>
      </c>
      <c r="E242" s="37">
        <f>SUM(E240:E241)</f>
        <v>4677.2800000000007</v>
      </c>
      <c r="F242" s="17">
        <f>SUM(F240:F241)</f>
        <v>12575.3</v>
      </c>
    </row>
    <row r="243" spans="1:6" x14ac:dyDescent="0.2">
      <c r="A243" s="6" t="s">
        <v>1231</v>
      </c>
      <c r="B243" s="10" t="s">
        <v>955</v>
      </c>
      <c r="C243" s="16">
        <v>1520.62</v>
      </c>
      <c r="D243" s="16">
        <v>2182.5300000000002</v>
      </c>
      <c r="E243" s="16">
        <v>2036.83</v>
      </c>
      <c r="F243" s="16">
        <f t="shared" ref="F243:F263" si="7">SUM(C243:E243)</f>
        <v>5739.98</v>
      </c>
    </row>
    <row r="244" spans="1:6" x14ac:dyDescent="0.2">
      <c r="A244" s="6" t="s">
        <v>1232</v>
      </c>
      <c r="B244" s="10" t="s">
        <v>956</v>
      </c>
      <c r="C244" s="16">
        <v>967.55</v>
      </c>
      <c r="D244" s="16">
        <v>1624.86</v>
      </c>
      <c r="E244" s="16">
        <v>2578.84</v>
      </c>
      <c r="F244" s="16">
        <f t="shared" si="7"/>
        <v>5171.25</v>
      </c>
    </row>
    <row r="245" spans="1:6" x14ac:dyDescent="0.2">
      <c r="A245" s="6" t="s">
        <v>1233</v>
      </c>
      <c r="B245" s="10" t="s">
        <v>957</v>
      </c>
      <c r="C245" s="16">
        <v>84.07</v>
      </c>
      <c r="D245" s="16">
        <v>94.73</v>
      </c>
      <c r="E245" s="16">
        <v>63.79</v>
      </c>
      <c r="F245" s="16">
        <f t="shared" si="7"/>
        <v>242.59</v>
      </c>
    </row>
    <row r="246" spans="1:6" x14ac:dyDescent="0.2">
      <c r="A246" s="6" t="s">
        <v>1234</v>
      </c>
      <c r="B246" s="10" t="s">
        <v>958</v>
      </c>
      <c r="C246" s="16">
        <v>1296</v>
      </c>
      <c r="D246" s="16">
        <v>519.23</v>
      </c>
      <c r="E246" s="16">
        <v>3980.77</v>
      </c>
      <c r="F246" s="16">
        <f t="shared" si="7"/>
        <v>5796</v>
      </c>
    </row>
    <row r="247" spans="1:6" x14ac:dyDescent="0.2">
      <c r="A247" s="6" t="s">
        <v>1235</v>
      </c>
      <c r="B247" s="10" t="s">
        <v>959</v>
      </c>
      <c r="C247" s="16">
        <v>150.4</v>
      </c>
      <c r="D247" s="16">
        <v>0</v>
      </c>
      <c r="E247" s="16">
        <v>0</v>
      </c>
      <c r="F247" s="16">
        <f t="shared" si="7"/>
        <v>150.4</v>
      </c>
    </row>
    <row r="248" spans="1:6" x14ac:dyDescent="0.2">
      <c r="A248" s="6" t="s">
        <v>1236</v>
      </c>
      <c r="B248" s="10" t="s">
        <v>960</v>
      </c>
      <c r="C248" s="16">
        <v>-150.4</v>
      </c>
      <c r="D248" s="16">
        <v>0</v>
      </c>
      <c r="E248" s="16">
        <v>0</v>
      </c>
      <c r="F248" s="16">
        <f t="shared" si="7"/>
        <v>-150.4</v>
      </c>
    </row>
    <row r="249" spans="1:6" x14ac:dyDescent="0.2">
      <c r="A249" s="6" t="s">
        <v>1237</v>
      </c>
      <c r="B249" s="10" t="s">
        <v>961</v>
      </c>
      <c r="C249" s="16">
        <v>4919.43</v>
      </c>
      <c r="D249" s="16">
        <v>4792.4399999999996</v>
      </c>
      <c r="E249" s="16">
        <v>5752.44</v>
      </c>
      <c r="F249" s="16">
        <f t="shared" si="7"/>
        <v>15464.309999999998</v>
      </c>
    </row>
    <row r="250" spans="1:6" x14ac:dyDescent="0.2">
      <c r="A250" s="6" t="s">
        <v>1238</v>
      </c>
      <c r="B250" s="10" t="s">
        <v>962</v>
      </c>
      <c r="C250" s="16">
        <v>414.81</v>
      </c>
      <c r="D250" s="16">
        <v>0</v>
      </c>
      <c r="E250" s="16">
        <v>0</v>
      </c>
      <c r="F250" s="16">
        <f t="shared" si="7"/>
        <v>414.81</v>
      </c>
    </row>
    <row r="251" spans="1:6" x14ac:dyDescent="0.2">
      <c r="A251" s="6" t="s">
        <v>1239</v>
      </c>
      <c r="B251" s="10" t="s">
        <v>963</v>
      </c>
      <c r="C251" s="16">
        <v>2.29</v>
      </c>
      <c r="D251" s="16">
        <v>0</v>
      </c>
      <c r="E251" s="16">
        <v>0</v>
      </c>
      <c r="F251" s="16">
        <f t="shared" si="7"/>
        <v>2.29</v>
      </c>
    </row>
    <row r="252" spans="1:6" x14ac:dyDescent="0.2">
      <c r="A252" s="6" t="s">
        <v>1240</v>
      </c>
      <c r="B252" s="10" t="s">
        <v>964</v>
      </c>
      <c r="C252" s="16">
        <v>16246.57</v>
      </c>
      <c r="D252" s="16">
        <v>5225.84</v>
      </c>
      <c r="E252" s="16">
        <v>1966.77</v>
      </c>
      <c r="F252" s="16">
        <f t="shared" si="7"/>
        <v>23439.18</v>
      </c>
    </row>
    <row r="253" spans="1:6" x14ac:dyDescent="0.2">
      <c r="A253" s="6" t="s">
        <v>1241</v>
      </c>
      <c r="B253" s="10" t="s">
        <v>965</v>
      </c>
      <c r="C253" s="16">
        <v>2746.86</v>
      </c>
      <c r="D253" s="16">
        <v>3385.34</v>
      </c>
      <c r="E253" s="16">
        <v>2326.09</v>
      </c>
      <c r="F253" s="16">
        <f t="shared" si="7"/>
        <v>8458.2900000000009</v>
      </c>
    </row>
    <row r="254" spans="1:6" x14ac:dyDescent="0.2">
      <c r="A254" s="6" t="s">
        <v>1242</v>
      </c>
      <c r="B254" s="10" t="s">
        <v>966</v>
      </c>
      <c r="C254" s="16">
        <v>1752.52</v>
      </c>
      <c r="D254" s="16">
        <v>1315.9</v>
      </c>
      <c r="E254" s="16">
        <v>1315.9</v>
      </c>
      <c r="F254" s="16">
        <f t="shared" si="7"/>
        <v>4384.32</v>
      </c>
    </row>
    <row r="255" spans="1:6" x14ac:dyDescent="0.2">
      <c r="A255" s="6" t="s">
        <v>1243</v>
      </c>
      <c r="B255" s="10" t="s">
        <v>967</v>
      </c>
      <c r="C255" s="16">
        <v>119.77</v>
      </c>
      <c r="D255" s="16">
        <v>184.53</v>
      </c>
      <c r="E255" s="16">
        <v>199.45</v>
      </c>
      <c r="F255" s="16">
        <f t="shared" si="7"/>
        <v>503.75</v>
      </c>
    </row>
    <row r="256" spans="1:6" x14ac:dyDescent="0.2">
      <c r="A256" s="6" t="s">
        <v>1244</v>
      </c>
      <c r="B256" s="10" t="s">
        <v>968</v>
      </c>
      <c r="C256" s="16">
        <v>691.29</v>
      </c>
      <c r="D256" s="16">
        <v>101.31</v>
      </c>
      <c r="E256" s="16">
        <v>297</v>
      </c>
      <c r="F256" s="16">
        <f t="shared" si="7"/>
        <v>1089.5999999999999</v>
      </c>
    </row>
    <row r="257" spans="1:6" x14ac:dyDescent="0.2">
      <c r="A257" s="6" t="s">
        <v>1245</v>
      </c>
      <c r="B257" s="10" t="s">
        <v>969</v>
      </c>
      <c r="C257" s="16">
        <v>10.63</v>
      </c>
      <c r="D257" s="16">
        <v>190.4</v>
      </c>
      <c r="E257" s="16">
        <v>12.78</v>
      </c>
      <c r="F257" s="16">
        <f t="shared" si="7"/>
        <v>213.81</v>
      </c>
    </row>
    <row r="258" spans="1:6" x14ac:dyDescent="0.2">
      <c r="A258" s="6" t="s">
        <v>1246</v>
      </c>
      <c r="B258" s="10" t="s">
        <v>970</v>
      </c>
      <c r="C258" s="16">
        <v>176.28</v>
      </c>
      <c r="D258" s="16">
        <v>0</v>
      </c>
      <c r="E258" s="16">
        <v>99.23</v>
      </c>
      <c r="F258" s="16">
        <f t="shared" si="7"/>
        <v>275.51</v>
      </c>
    </row>
    <row r="259" spans="1:6" x14ac:dyDescent="0.2">
      <c r="A259" s="6" t="s">
        <v>1247</v>
      </c>
      <c r="B259" s="10" t="s">
        <v>971</v>
      </c>
      <c r="C259" s="16">
        <v>24.31</v>
      </c>
      <c r="D259" s="16">
        <v>14.18</v>
      </c>
      <c r="E259" s="16">
        <v>496.42</v>
      </c>
      <c r="F259" s="16">
        <f t="shared" si="7"/>
        <v>534.91</v>
      </c>
    </row>
    <row r="260" spans="1:6" x14ac:dyDescent="0.2">
      <c r="A260" s="6" t="s">
        <v>1248</v>
      </c>
      <c r="B260" s="10" t="s">
        <v>972</v>
      </c>
      <c r="C260" s="16">
        <v>34834.22</v>
      </c>
      <c r="D260" s="16">
        <v>43880.67</v>
      </c>
      <c r="E260" s="16">
        <v>47314.74</v>
      </c>
      <c r="F260" s="16">
        <f t="shared" si="7"/>
        <v>126029.63</v>
      </c>
    </row>
    <row r="261" spans="1:6" x14ac:dyDescent="0.2">
      <c r="A261" s="6" t="s">
        <v>1249</v>
      </c>
      <c r="B261" s="10" t="s">
        <v>973</v>
      </c>
      <c r="C261" s="16">
        <v>30940.28</v>
      </c>
      <c r="D261" s="16">
        <v>38073.43</v>
      </c>
      <c r="E261" s="16">
        <v>41587.35</v>
      </c>
      <c r="F261" s="16">
        <f t="shared" si="7"/>
        <v>110601.06</v>
      </c>
    </row>
    <row r="262" spans="1:6" x14ac:dyDescent="0.2">
      <c r="A262" s="6" t="s">
        <v>1250</v>
      </c>
      <c r="B262" s="10" t="s">
        <v>974</v>
      </c>
      <c r="C262" s="16">
        <v>24.92</v>
      </c>
      <c r="D262" s="16">
        <v>64.16</v>
      </c>
      <c r="E262" s="16">
        <v>32.9</v>
      </c>
      <c r="F262" s="16">
        <f t="shared" si="7"/>
        <v>121.97999999999999</v>
      </c>
    </row>
    <row r="263" spans="1:6" x14ac:dyDescent="0.2">
      <c r="A263" s="6" t="s">
        <v>1251</v>
      </c>
      <c r="B263" s="10" t="s">
        <v>975</v>
      </c>
      <c r="C263" s="16">
        <v>3560.17</v>
      </c>
      <c r="D263" s="16">
        <v>3453.74</v>
      </c>
      <c r="E263" s="16">
        <v>3578.52</v>
      </c>
      <c r="F263" s="16">
        <f t="shared" si="7"/>
        <v>10592.43</v>
      </c>
    </row>
    <row r="264" spans="1:6" x14ac:dyDescent="0.2">
      <c r="A264" s="6" t="s">
        <v>1252</v>
      </c>
      <c r="B264" s="9" t="s">
        <v>976</v>
      </c>
      <c r="C264" s="15"/>
      <c r="D264" s="15"/>
      <c r="E264" s="15"/>
      <c r="F264" s="15"/>
    </row>
    <row r="265" spans="1:6" x14ac:dyDescent="0.2">
      <c r="A265" s="6" t="s">
        <v>1253</v>
      </c>
      <c r="B265" s="10" t="s">
        <v>977</v>
      </c>
      <c r="C265" s="16">
        <v>4889.34</v>
      </c>
      <c r="D265" s="16">
        <v>8569.52</v>
      </c>
      <c r="E265" s="16">
        <v>7909.73</v>
      </c>
      <c r="F265" s="16">
        <f>SUM(C265:E265)</f>
        <v>21368.59</v>
      </c>
    </row>
    <row r="266" spans="1:6" x14ac:dyDescent="0.2">
      <c r="A266" s="6" t="s">
        <v>1071</v>
      </c>
      <c r="B266" s="11" t="s">
        <v>978</v>
      </c>
      <c r="C266" s="17">
        <f>SUM(C265)</f>
        <v>4889.34</v>
      </c>
      <c r="D266" s="17">
        <f>SUM(D265)</f>
        <v>8569.52</v>
      </c>
      <c r="E266" s="38">
        <f>SUM(E265)</f>
        <v>7909.73</v>
      </c>
      <c r="F266" s="17">
        <f>SUM(F265)</f>
        <v>21368.59</v>
      </c>
    </row>
    <row r="267" spans="1:6" x14ac:dyDescent="0.2">
      <c r="A267" s="6" t="s">
        <v>1254</v>
      </c>
      <c r="B267" s="9" t="s">
        <v>979</v>
      </c>
      <c r="C267" s="15"/>
      <c r="D267" s="15"/>
      <c r="E267" s="15"/>
      <c r="F267" s="15"/>
    </row>
    <row r="268" spans="1:6" x14ac:dyDescent="0.2">
      <c r="A268" s="6" t="s">
        <v>649</v>
      </c>
      <c r="B268" s="10" t="s">
        <v>980</v>
      </c>
      <c r="C268" s="16">
        <v>93.39</v>
      </c>
      <c r="D268" s="16">
        <v>46.46</v>
      </c>
      <c r="E268" s="16">
        <v>0</v>
      </c>
      <c r="F268" s="16">
        <f>SUM(C268:E268)</f>
        <v>139.85</v>
      </c>
    </row>
    <row r="269" spans="1:6" x14ac:dyDescent="0.2">
      <c r="A269" s="6" t="s">
        <v>1255</v>
      </c>
      <c r="B269" s="10" t="s">
        <v>981</v>
      </c>
      <c r="C269" s="16">
        <v>9956.48</v>
      </c>
      <c r="D269" s="16">
        <v>7770.07</v>
      </c>
      <c r="E269" s="16">
        <v>4751.75</v>
      </c>
      <c r="F269" s="16">
        <f>SUM(C269:E269)</f>
        <v>22478.3</v>
      </c>
    </row>
    <row r="270" spans="1:6" x14ac:dyDescent="0.2">
      <c r="A270" s="6" t="s">
        <v>1071</v>
      </c>
      <c r="B270" s="11" t="s">
        <v>982</v>
      </c>
      <c r="C270" s="17">
        <f>SUM(C268:C269)</f>
        <v>10049.869999999999</v>
      </c>
      <c r="D270" s="17">
        <f>SUM(D268:D269)</f>
        <v>7816.53</v>
      </c>
      <c r="E270" s="17">
        <f>SUM(E268:E269)</f>
        <v>4751.75</v>
      </c>
      <c r="F270" s="17">
        <f>SUM(F268:F269)</f>
        <v>22618.149999999998</v>
      </c>
    </row>
    <row r="271" spans="1:6" x14ac:dyDescent="0.2">
      <c r="A271" s="6" t="s">
        <v>1256</v>
      </c>
      <c r="B271" s="10" t="s">
        <v>983</v>
      </c>
      <c r="C271" s="16">
        <v>50</v>
      </c>
      <c r="D271" s="16">
        <v>0</v>
      </c>
      <c r="E271" s="16">
        <v>0</v>
      </c>
      <c r="F271" s="16">
        <f t="shared" ref="F271:F298" si="8">SUM(C271:E271)</f>
        <v>50</v>
      </c>
    </row>
    <row r="272" spans="1:6" x14ac:dyDescent="0.2">
      <c r="A272" s="6" t="s">
        <v>1257</v>
      </c>
      <c r="B272" s="10" t="s">
        <v>984</v>
      </c>
      <c r="C272" s="16">
        <v>1574.01</v>
      </c>
      <c r="D272" s="16">
        <v>1336.1</v>
      </c>
      <c r="E272" s="16">
        <v>1463.79</v>
      </c>
      <c r="F272" s="16">
        <f t="shared" si="8"/>
        <v>4373.8999999999996</v>
      </c>
    </row>
    <row r="273" spans="1:6" x14ac:dyDescent="0.2">
      <c r="A273" s="6" t="s">
        <v>1258</v>
      </c>
      <c r="B273" s="10" t="s">
        <v>985</v>
      </c>
      <c r="C273" s="16">
        <v>1177.48</v>
      </c>
      <c r="D273" s="16">
        <v>1679.78</v>
      </c>
      <c r="E273" s="16">
        <v>1747.6</v>
      </c>
      <c r="F273" s="16">
        <f t="shared" si="8"/>
        <v>4604.8600000000006</v>
      </c>
    </row>
    <row r="274" spans="1:6" x14ac:dyDescent="0.2">
      <c r="A274" s="6" t="s">
        <v>1259</v>
      </c>
      <c r="B274" s="10" t="s">
        <v>986</v>
      </c>
      <c r="C274" s="16">
        <v>574.86</v>
      </c>
      <c r="D274" s="16">
        <v>375.29</v>
      </c>
      <c r="E274" s="16">
        <v>216</v>
      </c>
      <c r="F274" s="16">
        <f t="shared" si="8"/>
        <v>1166.1500000000001</v>
      </c>
    </row>
    <row r="275" spans="1:6" x14ac:dyDescent="0.2">
      <c r="A275" s="6" t="s">
        <v>1260</v>
      </c>
      <c r="B275" s="10" t="s">
        <v>987</v>
      </c>
      <c r="C275" s="16">
        <v>2463.54</v>
      </c>
      <c r="D275" s="16">
        <v>368.02</v>
      </c>
      <c r="E275" s="16">
        <v>2869.54</v>
      </c>
      <c r="F275" s="16">
        <f t="shared" si="8"/>
        <v>5701.1</v>
      </c>
    </row>
    <row r="276" spans="1:6" x14ac:dyDescent="0.2">
      <c r="A276" s="6" t="s">
        <v>1261</v>
      </c>
      <c r="B276" s="10" t="s">
        <v>988</v>
      </c>
      <c r="C276" s="16">
        <v>413.23</v>
      </c>
      <c r="D276" s="16">
        <v>173.23</v>
      </c>
      <c r="E276" s="16">
        <v>1267.71</v>
      </c>
      <c r="F276" s="16">
        <f t="shared" si="8"/>
        <v>1854.17</v>
      </c>
    </row>
    <row r="277" spans="1:6" x14ac:dyDescent="0.2">
      <c r="A277" s="6" t="s">
        <v>1262</v>
      </c>
      <c r="B277" s="10" t="s">
        <v>989</v>
      </c>
      <c r="C277" s="16">
        <v>2277.75</v>
      </c>
      <c r="D277" s="16">
        <v>2346.19</v>
      </c>
      <c r="E277" s="16">
        <v>2361.39</v>
      </c>
      <c r="F277" s="16">
        <f t="shared" si="8"/>
        <v>6985.33</v>
      </c>
    </row>
    <row r="278" spans="1:6" x14ac:dyDescent="0.2">
      <c r="A278" s="6" t="s">
        <v>1263</v>
      </c>
      <c r="B278" s="10" t="s">
        <v>990</v>
      </c>
      <c r="C278" s="16">
        <v>2198.71</v>
      </c>
      <c r="D278" s="16">
        <v>3641.9</v>
      </c>
      <c r="E278" s="16">
        <v>2198.71</v>
      </c>
      <c r="F278" s="16">
        <f t="shared" si="8"/>
        <v>8039.3200000000006</v>
      </c>
    </row>
    <row r="279" spans="1:6" x14ac:dyDescent="0.2">
      <c r="A279" s="6" t="s">
        <v>1264</v>
      </c>
      <c r="B279" s="10" t="s">
        <v>991</v>
      </c>
      <c r="C279" s="16">
        <v>0</v>
      </c>
      <c r="D279" s="16">
        <v>0</v>
      </c>
      <c r="E279" s="16">
        <v>41.88</v>
      </c>
      <c r="F279" s="16">
        <f t="shared" si="8"/>
        <v>41.88</v>
      </c>
    </row>
    <row r="280" spans="1:6" x14ac:dyDescent="0.2">
      <c r="A280" s="6" t="s">
        <v>1265</v>
      </c>
      <c r="B280" s="10" t="s">
        <v>992</v>
      </c>
      <c r="C280" s="16">
        <v>932.02</v>
      </c>
      <c r="D280" s="16">
        <v>645.79999999999995</v>
      </c>
      <c r="E280" s="16">
        <v>0</v>
      </c>
      <c r="F280" s="16">
        <f t="shared" si="8"/>
        <v>1577.82</v>
      </c>
    </row>
    <row r="281" spans="1:6" x14ac:dyDescent="0.2">
      <c r="A281" s="6" t="s">
        <v>1266</v>
      </c>
      <c r="B281" s="10" t="s">
        <v>993</v>
      </c>
      <c r="C281" s="16">
        <v>1010.66</v>
      </c>
      <c r="D281" s="16">
        <v>3420.18</v>
      </c>
      <c r="E281" s="16">
        <v>1010.66</v>
      </c>
      <c r="F281" s="16">
        <f t="shared" si="8"/>
        <v>5441.5</v>
      </c>
    </row>
    <row r="282" spans="1:6" x14ac:dyDescent="0.2">
      <c r="A282" s="6" t="s">
        <v>1267</v>
      </c>
      <c r="B282" s="10" t="s">
        <v>994</v>
      </c>
      <c r="C282" s="16">
        <v>0</v>
      </c>
      <c r="D282" s="16">
        <v>172.32</v>
      </c>
      <c r="E282" s="16">
        <v>765</v>
      </c>
      <c r="F282" s="16">
        <f t="shared" si="8"/>
        <v>937.31999999999994</v>
      </c>
    </row>
    <row r="283" spans="1:6" x14ac:dyDescent="0.2">
      <c r="A283" s="6" t="s">
        <v>1268</v>
      </c>
      <c r="B283" s="10" t="s">
        <v>995</v>
      </c>
      <c r="C283" s="16">
        <v>876.18</v>
      </c>
      <c r="D283" s="16">
        <v>506.97</v>
      </c>
      <c r="E283" s="16">
        <v>876.18</v>
      </c>
      <c r="F283" s="16">
        <f t="shared" si="8"/>
        <v>2259.33</v>
      </c>
    </row>
    <row r="284" spans="1:6" x14ac:dyDescent="0.2">
      <c r="A284" s="6" t="s">
        <v>1269</v>
      </c>
      <c r="B284" s="10" t="s">
        <v>996</v>
      </c>
      <c r="C284" s="16">
        <v>3753.19</v>
      </c>
      <c r="D284" s="16">
        <v>9640.2900000000009</v>
      </c>
      <c r="E284" s="16">
        <v>4058.01</v>
      </c>
      <c r="F284" s="16">
        <f t="shared" si="8"/>
        <v>17451.490000000002</v>
      </c>
    </row>
    <row r="285" spans="1:6" x14ac:dyDescent="0.2">
      <c r="A285" s="6" t="s">
        <v>1270</v>
      </c>
      <c r="B285" s="10" t="s">
        <v>997</v>
      </c>
      <c r="C285" s="16">
        <v>0</v>
      </c>
      <c r="D285" s="16">
        <v>0</v>
      </c>
      <c r="E285" s="16">
        <v>374.8</v>
      </c>
      <c r="F285" s="16">
        <f t="shared" si="8"/>
        <v>374.8</v>
      </c>
    </row>
    <row r="286" spans="1:6" x14ac:dyDescent="0.2">
      <c r="A286" s="6" t="s">
        <v>1271</v>
      </c>
      <c r="B286" s="10" t="s">
        <v>998</v>
      </c>
      <c r="C286" s="16">
        <v>8873.7199999999993</v>
      </c>
      <c r="D286" s="16">
        <v>48.03</v>
      </c>
      <c r="E286" s="16">
        <v>647.88</v>
      </c>
      <c r="F286" s="16">
        <f t="shared" si="8"/>
        <v>9569.6299999999992</v>
      </c>
    </row>
    <row r="287" spans="1:6" x14ac:dyDescent="0.2">
      <c r="A287" s="6" t="s">
        <v>1272</v>
      </c>
      <c r="B287" s="10" t="s">
        <v>999</v>
      </c>
      <c r="C287" s="16">
        <v>163.91</v>
      </c>
      <c r="D287" s="16">
        <v>0</v>
      </c>
      <c r="E287" s="16">
        <v>0</v>
      </c>
      <c r="F287" s="16">
        <f t="shared" si="8"/>
        <v>163.91</v>
      </c>
    </row>
    <row r="288" spans="1:6" x14ac:dyDescent="0.2">
      <c r="A288" s="6" t="s">
        <v>1273</v>
      </c>
      <c r="B288" s="10" t="s">
        <v>1000</v>
      </c>
      <c r="C288" s="16">
        <v>1642.6</v>
      </c>
      <c r="D288" s="16">
        <v>-504.97</v>
      </c>
      <c r="E288" s="16">
        <v>645.98</v>
      </c>
      <c r="F288" s="16">
        <f t="shared" si="8"/>
        <v>1783.61</v>
      </c>
    </row>
    <row r="289" spans="1:6" x14ac:dyDescent="0.2">
      <c r="A289" s="6" t="s">
        <v>1274</v>
      </c>
      <c r="B289" s="10" t="s">
        <v>1001</v>
      </c>
      <c r="C289" s="16">
        <v>104.95</v>
      </c>
      <c r="D289" s="16">
        <v>216.08</v>
      </c>
      <c r="E289" s="16">
        <v>78.72</v>
      </c>
      <c r="F289" s="16">
        <f t="shared" si="8"/>
        <v>399.75</v>
      </c>
    </row>
    <row r="290" spans="1:6" x14ac:dyDescent="0.2">
      <c r="A290" s="6" t="s">
        <v>1275</v>
      </c>
      <c r="B290" s="10" t="s">
        <v>1002</v>
      </c>
      <c r="C290" s="16">
        <v>456.63</v>
      </c>
      <c r="D290" s="16">
        <v>209.42</v>
      </c>
      <c r="E290" s="16">
        <v>210.48</v>
      </c>
      <c r="F290" s="16">
        <f t="shared" si="8"/>
        <v>876.53</v>
      </c>
    </row>
    <row r="291" spans="1:6" x14ac:dyDescent="0.2">
      <c r="A291" s="6" t="s">
        <v>1276</v>
      </c>
      <c r="B291" s="10" t="s">
        <v>1003</v>
      </c>
      <c r="C291" s="16">
        <v>0</v>
      </c>
      <c r="D291" s="16">
        <v>4.6399999999999997</v>
      </c>
      <c r="E291" s="16">
        <v>4.8600000000000003</v>
      </c>
      <c r="F291" s="16">
        <f t="shared" si="8"/>
        <v>9.5</v>
      </c>
    </row>
    <row r="292" spans="1:6" x14ac:dyDescent="0.2">
      <c r="A292" s="6" t="s">
        <v>1277</v>
      </c>
      <c r="B292" s="10" t="s">
        <v>1004</v>
      </c>
      <c r="C292" s="16">
        <v>4928.2700000000004</v>
      </c>
      <c r="D292" s="16">
        <v>5233.92</v>
      </c>
      <c r="E292" s="16">
        <v>9319.1</v>
      </c>
      <c r="F292" s="16">
        <f t="shared" si="8"/>
        <v>19481.29</v>
      </c>
    </row>
    <row r="293" spans="1:6" x14ac:dyDescent="0.2">
      <c r="A293" s="6" t="s">
        <v>1278</v>
      </c>
      <c r="B293" s="10" t="s">
        <v>1005</v>
      </c>
      <c r="C293" s="16">
        <v>852.83</v>
      </c>
      <c r="D293" s="16">
        <v>909.79</v>
      </c>
      <c r="E293" s="16">
        <v>250.24</v>
      </c>
      <c r="F293" s="16">
        <f t="shared" si="8"/>
        <v>2012.86</v>
      </c>
    </row>
    <row r="294" spans="1:6" x14ac:dyDescent="0.2">
      <c r="A294" s="6" t="s">
        <v>1279</v>
      </c>
      <c r="B294" s="10" t="s">
        <v>1006</v>
      </c>
      <c r="C294" s="16">
        <v>10693.76</v>
      </c>
      <c r="D294" s="16">
        <v>10348.799999999999</v>
      </c>
      <c r="E294" s="16">
        <v>-4279.6899999999996</v>
      </c>
      <c r="F294" s="16">
        <f t="shared" si="8"/>
        <v>16762.87</v>
      </c>
    </row>
    <row r="295" spans="1:6" x14ac:dyDescent="0.2">
      <c r="A295" s="6" t="s">
        <v>1280</v>
      </c>
      <c r="B295" s="10" t="s">
        <v>1007</v>
      </c>
      <c r="C295" s="16">
        <v>1859.24</v>
      </c>
      <c r="D295" s="16">
        <v>2031.46</v>
      </c>
      <c r="E295" s="16">
        <v>1762</v>
      </c>
      <c r="F295" s="16">
        <f t="shared" si="8"/>
        <v>5652.7</v>
      </c>
    </row>
    <row r="296" spans="1:6" x14ac:dyDescent="0.2">
      <c r="A296" s="6" t="s">
        <v>1281</v>
      </c>
      <c r="B296" s="10" t="s">
        <v>1008</v>
      </c>
      <c r="C296" s="16">
        <v>3281.38</v>
      </c>
      <c r="D296" s="16">
        <v>3281.38</v>
      </c>
      <c r="E296" s="16">
        <v>3281.38</v>
      </c>
      <c r="F296" s="16">
        <f t="shared" si="8"/>
        <v>9844.14</v>
      </c>
    </row>
    <row r="297" spans="1:6" x14ac:dyDescent="0.2">
      <c r="A297" s="6" t="s">
        <v>1282</v>
      </c>
      <c r="B297" s="10" t="s">
        <v>1009</v>
      </c>
      <c r="C297" s="16">
        <v>49617.35</v>
      </c>
      <c r="D297" s="16">
        <v>62503.02</v>
      </c>
      <c r="E297" s="16">
        <v>67394.44</v>
      </c>
      <c r="F297" s="16">
        <f t="shared" si="8"/>
        <v>179514.81</v>
      </c>
    </row>
    <row r="298" spans="1:6" x14ac:dyDescent="0.2">
      <c r="A298" s="6" t="s">
        <v>1283</v>
      </c>
      <c r="B298" s="10" t="s">
        <v>1010</v>
      </c>
      <c r="C298" s="16">
        <v>30782.41</v>
      </c>
      <c r="D298" s="16">
        <v>38220.44</v>
      </c>
      <c r="E298" s="16">
        <v>41278.92</v>
      </c>
      <c r="F298" s="16">
        <f t="shared" si="8"/>
        <v>110281.77</v>
      </c>
    </row>
    <row r="299" spans="1:6" x14ac:dyDescent="0.2">
      <c r="A299" s="6" t="s">
        <v>1071</v>
      </c>
      <c r="B299" s="11" t="s">
        <v>1011</v>
      </c>
      <c r="C299" s="17">
        <f>SUM(C65,C68,C71,C75,C79,C83,C86,C90,C93,C96,C99:C120,C123,C126,C129,C132,C135,C138,C141,C145,C148:C175,C179:C198,C201,C204,C207:C214,C219:C232)+SUM(C235,C238,C242:C263,C266,C270:C298)</f>
        <v>755105.74</v>
      </c>
      <c r="D299" s="17">
        <f>SUM(D65,D68,D71,D75,D79,D83,D86,D90,D93,D96,D99:D120,D123,D126,D129,D132,D135,D138,D141,D145,D148:D175,D179:D198,D201,D204,D207:D214,D219:D232)+SUM(D235,D238,D242:D263,D266,D270:D298)</f>
        <v>812129.39999999979</v>
      </c>
      <c r="E299" s="17">
        <f>SUM(E65,E68,E71,E75,E79,E83,E86,E90,E93,E96,E99:E120,E123,E126,E129,E132,E135,E138,E141,E145,E148:E175,E179:E198,E201,E204,E207:E214,E219:E232)+SUM(E235,E238,E242:E263,E266,E270:E298)</f>
        <v>822713.98999999976</v>
      </c>
      <c r="F299" s="17">
        <f>SUM(F65,F68,F71,F75,F79,F83,F86,F90,F93,F96,F99:F120,F123,F126,F129,F132,F135,F138,F141,F145,F148:F175,F179:F198,F201,F204,F207:F214,F219:F232)+SUM(F235,F238,F242:F263,F266,F270:F298)</f>
        <v>2389949.1300000008</v>
      </c>
    </row>
    <row r="300" spans="1:6" x14ac:dyDescent="0.2">
      <c r="A300" s="6" t="s">
        <v>1284</v>
      </c>
      <c r="B300" s="13" t="s">
        <v>1012</v>
      </c>
      <c r="C300" s="18">
        <f>C60-C299</f>
        <v>332559.53000000003</v>
      </c>
      <c r="D300" s="18">
        <f>D60-D299</f>
        <v>542051.15</v>
      </c>
      <c r="E300" s="18">
        <f>E60-E299</f>
        <v>642732.64000000013</v>
      </c>
      <c r="F300" s="18">
        <f>F60-F299</f>
        <v>1517343.3199999998</v>
      </c>
    </row>
    <row r="301" spans="1:6" x14ac:dyDescent="0.2">
      <c r="A301" s="6" t="s">
        <v>1285</v>
      </c>
      <c r="B301" s="8" t="s">
        <v>1013</v>
      </c>
      <c r="C301" s="15"/>
      <c r="D301" s="15"/>
      <c r="E301" s="15"/>
      <c r="F301" s="15"/>
    </row>
    <row r="302" spans="1:6" x14ac:dyDescent="0.2">
      <c r="A302" s="6" t="s">
        <v>1286</v>
      </c>
      <c r="B302" s="9" t="s">
        <v>1014</v>
      </c>
      <c r="C302" s="15"/>
      <c r="D302" s="15"/>
      <c r="E302" s="15"/>
      <c r="F302" s="15"/>
    </row>
    <row r="303" spans="1:6" x14ac:dyDescent="0.2">
      <c r="A303" s="6" t="s">
        <v>1287</v>
      </c>
      <c r="B303" s="10" t="s">
        <v>1015</v>
      </c>
      <c r="C303" s="16">
        <v>5000</v>
      </c>
      <c r="D303" s="16">
        <v>5000</v>
      </c>
      <c r="E303" s="16">
        <v>5000</v>
      </c>
      <c r="F303" s="16">
        <f t="shared" ref="F303:F318" si="9">SUM(C303:E303)</f>
        <v>15000</v>
      </c>
    </row>
    <row r="304" spans="1:6" x14ac:dyDescent="0.2">
      <c r="A304" s="6" t="s">
        <v>1288</v>
      </c>
      <c r="B304" s="10" t="s">
        <v>1016</v>
      </c>
      <c r="C304" s="16">
        <v>445.88</v>
      </c>
      <c r="D304" s="16">
        <v>335.75</v>
      </c>
      <c r="E304" s="16">
        <v>335.75</v>
      </c>
      <c r="F304" s="16">
        <f t="shared" si="9"/>
        <v>1117.3800000000001</v>
      </c>
    </row>
    <row r="305" spans="1:6" x14ac:dyDescent="0.2">
      <c r="A305" s="6" t="s">
        <v>1289</v>
      </c>
      <c r="B305" s="10" t="s">
        <v>1017</v>
      </c>
      <c r="C305" s="16">
        <v>7921.56</v>
      </c>
      <c r="D305" s="16">
        <v>7472.3</v>
      </c>
      <c r="E305" s="16">
        <v>8713.7099999999991</v>
      </c>
      <c r="F305" s="16">
        <f t="shared" si="9"/>
        <v>24107.57</v>
      </c>
    </row>
    <row r="306" spans="1:6" x14ac:dyDescent="0.2">
      <c r="A306" s="6" t="s">
        <v>1290</v>
      </c>
      <c r="B306" s="10" t="s">
        <v>1018</v>
      </c>
      <c r="C306" s="16">
        <v>18025.22</v>
      </c>
      <c r="D306" s="16">
        <v>18025.22</v>
      </c>
      <c r="E306" s="16">
        <v>18025.22</v>
      </c>
      <c r="F306" s="16">
        <f t="shared" si="9"/>
        <v>54075.66</v>
      </c>
    </row>
    <row r="307" spans="1:6" x14ac:dyDescent="0.2">
      <c r="A307" s="6" t="s">
        <v>1291</v>
      </c>
      <c r="B307" s="10" t="s">
        <v>1019</v>
      </c>
      <c r="C307" s="16">
        <v>1031.9000000000001</v>
      </c>
      <c r="D307" s="16">
        <v>982.2</v>
      </c>
      <c r="E307" s="16">
        <v>982.2</v>
      </c>
      <c r="F307" s="16">
        <f t="shared" si="9"/>
        <v>2996.3</v>
      </c>
    </row>
    <row r="308" spans="1:6" x14ac:dyDescent="0.2">
      <c r="A308" s="6" t="s">
        <v>1292</v>
      </c>
      <c r="B308" s="10" t="s">
        <v>1020</v>
      </c>
      <c r="C308" s="16">
        <v>5877.92</v>
      </c>
      <c r="D308" s="16">
        <v>18276.939999999999</v>
      </c>
      <c r="E308" s="16">
        <v>7867.75</v>
      </c>
      <c r="F308" s="16">
        <f t="shared" si="9"/>
        <v>32022.61</v>
      </c>
    </row>
    <row r="309" spans="1:6" x14ac:dyDescent="0.2">
      <c r="A309" s="6" t="s">
        <v>1293</v>
      </c>
      <c r="B309" s="10" t="s">
        <v>1021</v>
      </c>
      <c r="C309" s="16">
        <v>1513.19</v>
      </c>
      <c r="D309" s="16">
        <v>1513.19</v>
      </c>
      <c r="E309" s="16">
        <v>9306.14</v>
      </c>
      <c r="F309" s="16">
        <f t="shared" si="9"/>
        <v>12332.52</v>
      </c>
    </row>
    <row r="310" spans="1:6" x14ac:dyDescent="0.2">
      <c r="A310" s="6" t="s">
        <v>1294</v>
      </c>
      <c r="B310" s="10" t="s">
        <v>1022</v>
      </c>
      <c r="C310" s="16">
        <v>71454.399999999994</v>
      </c>
      <c r="D310" s="16">
        <v>71454.399999999994</v>
      </c>
      <c r="E310" s="16">
        <v>71454.399999999994</v>
      </c>
      <c r="F310" s="16">
        <f t="shared" si="9"/>
        <v>214363.19999999998</v>
      </c>
    </row>
    <row r="311" spans="1:6" x14ac:dyDescent="0.2">
      <c r="A311" s="6" t="s">
        <v>1295</v>
      </c>
      <c r="B311" s="10" t="s">
        <v>1023</v>
      </c>
      <c r="C311" s="16">
        <v>3022.59</v>
      </c>
      <c r="D311" s="16">
        <v>2973.33</v>
      </c>
      <c r="E311" s="16">
        <v>2923.87</v>
      </c>
      <c r="F311" s="16">
        <f t="shared" si="9"/>
        <v>8919.7900000000009</v>
      </c>
    </row>
    <row r="312" spans="1:6" x14ac:dyDescent="0.2">
      <c r="A312" s="6" t="s">
        <v>1296</v>
      </c>
      <c r="B312" s="10" t="s">
        <v>1024</v>
      </c>
      <c r="C312" s="16">
        <v>118.34</v>
      </c>
      <c r="D312" s="16">
        <v>110.28</v>
      </c>
      <c r="E312" s="16">
        <v>102.19</v>
      </c>
      <c r="F312" s="16">
        <f t="shared" si="9"/>
        <v>330.81</v>
      </c>
    </row>
    <row r="313" spans="1:6" x14ac:dyDescent="0.2">
      <c r="A313" s="6" t="s">
        <v>1297</v>
      </c>
      <c r="B313" s="10" t="s">
        <v>1025</v>
      </c>
      <c r="C313" s="16">
        <v>210</v>
      </c>
      <c r="D313" s="16">
        <v>210</v>
      </c>
      <c r="E313" s="16">
        <v>210</v>
      </c>
      <c r="F313" s="16">
        <f t="shared" si="9"/>
        <v>630</v>
      </c>
    </row>
    <row r="314" spans="1:6" x14ac:dyDescent="0.2">
      <c r="A314" s="6" t="s">
        <v>1298</v>
      </c>
      <c r="B314" s="10" t="s">
        <v>1026</v>
      </c>
      <c r="C314" s="16">
        <v>-15288.81</v>
      </c>
      <c r="D314" s="16">
        <v>15288.81</v>
      </c>
      <c r="E314" s="16">
        <v>0</v>
      </c>
      <c r="F314" s="16">
        <f t="shared" si="9"/>
        <v>0</v>
      </c>
    </row>
    <row r="315" spans="1:6" x14ac:dyDescent="0.2">
      <c r="A315" s="6" t="s">
        <v>1299</v>
      </c>
      <c r="B315" s="10" t="s">
        <v>1027</v>
      </c>
      <c r="C315" s="16">
        <v>-257254.74</v>
      </c>
      <c r="D315" s="16">
        <v>268893.88</v>
      </c>
      <c r="E315" s="16">
        <v>0</v>
      </c>
      <c r="F315" s="16">
        <f t="shared" si="9"/>
        <v>11639.140000000014</v>
      </c>
    </row>
    <row r="316" spans="1:6" x14ac:dyDescent="0.2">
      <c r="A316" s="6" t="s">
        <v>1300</v>
      </c>
      <c r="B316" s="10" t="s">
        <v>1028</v>
      </c>
      <c r="C316" s="16">
        <v>0</v>
      </c>
      <c r="D316" s="16">
        <v>1691.11</v>
      </c>
      <c r="E316" s="16">
        <v>2807.5</v>
      </c>
      <c r="F316" s="16">
        <f t="shared" si="9"/>
        <v>4498.6099999999997</v>
      </c>
    </row>
    <row r="317" spans="1:6" x14ac:dyDescent="0.2">
      <c r="A317" s="6" t="s">
        <v>1301</v>
      </c>
      <c r="B317" s="10" t="s">
        <v>1029</v>
      </c>
      <c r="C317" s="16">
        <v>0</v>
      </c>
      <c r="D317" s="16">
        <v>1000</v>
      </c>
      <c r="E317" s="16">
        <v>0</v>
      </c>
      <c r="F317" s="16">
        <f t="shared" si="9"/>
        <v>1000</v>
      </c>
    </row>
    <row r="318" spans="1:6" x14ac:dyDescent="0.2">
      <c r="A318" s="6" t="s">
        <v>1302</v>
      </c>
      <c r="B318" s="10" t="s">
        <v>1030</v>
      </c>
      <c r="C318" s="16">
        <v>0</v>
      </c>
      <c r="D318" s="16">
        <v>0</v>
      </c>
      <c r="E318" s="16">
        <v>3147.37</v>
      </c>
      <c r="F318" s="16">
        <f t="shared" si="9"/>
        <v>3147.37</v>
      </c>
    </row>
    <row r="319" spans="1:6" x14ac:dyDescent="0.2">
      <c r="A319" s="6" t="s">
        <v>1071</v>
      </c>
      <c r="B319" s="11" t="s">
        <v>1031</v>
      </c>
      <c r="C319" s="17">
        <f>SUM(C303:C318)</f>
        <v>-157922.54999999999</v>
      </c>
      <c r="D319" s="17">
        <f>SUM(D303:D318)</f>
        <v>413227.41000000003</v>
      </c>
      <c r="E319" s="17">
        <f>SUM(E303:E318)</f>
        <v>130876.09999999998</v>
      </c>
      <c r="F319" s="17">
        <f>SUM(F303:F318)</f>
        <v>386180.95999999996</v>
      </c>
    </row>
    <row r="320" spans="1:6" x14ac:dyDescent="0.2">
      <c r="A320" s="6" t="s">
        <v>1303</v>
      </c>
      <c r="B320" s="13" t="s">
        <v>1032</v>
      </c>
      <c r="C320" s="18">
        <f>0-C319</f>
        <v>157922.54999999999</v>
      </c>
      <c r="D320" s="18">
        <f>0-D319</f>
        <v>-413227.41000000003</v>
      </c>
      <c r="E320" s="18">
        <f>0-E319</f>
        <v>-130876.09999999998</v>
      </c>
      <c r="F320" s="18">
        <f>0-F319</f>
        <v>-386180.95999999996</v>
      </c>
    </row>
    <row r="321" spans="1:6" x14ac:dyDescent="0.2">
      <c r="A321" s="6" t="s">
        <v>1304</v>
      </c>
      <c r="B321" s="13" t="s">
        <v>1033</v>
      </c>
      <c r="C321" s="18">
        <f>C300+C320</f>
        <v>490482.08</v>
      </c>
      <c r="D321" s="18">
        <f>D300+D320</f>
        <v>128823.73999999999</v>
      </c>
      <c r="E321" s="18">
        <f>E300+E320</f>
        <v>511856.54000000015</v>
      </c>
      <c r="F321" s="18">
        <f>F300+F320</f>
        <v>1131162.3599999999</v>
      </c>
    </row>
  </sheetData>
  <mergeCells count="5">
    <mergeCell ref="B1:F1"/>
    <mergeCell ref="B2:F2"/>
    <mergeCell ref="B3:F3"/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Working</vt:lpstr>
      <vt:lpstr>Mapping</vt:lpstr>
      <vt:lpstr>Jul Payroll</vt:lpstr>
      <vt:lpstr>Final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Arulmurugan Vadivel</dc:creator>
  <cp:lastModifiedBy>Arulmurugan Vadivel</cp:lastModifiedBy>
  <dcterms:created xsi:type="dcterms:W3CDTF">2026-08-11T20:24:54Z</dcterms:created>
  <dcterms:modified xsi:type="dcterms:W3CDTF">2026-08-12T15:04:32Z</dcterms:modified>
</cp:coreProperties>
</file>