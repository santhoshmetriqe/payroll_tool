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7.5\Hotel_Equities\2026\5 Payroll\US\Payroll Register -request\Working\"/>
    </mc:Choice>
  </mc:AlternateContent>
  <xr:revisionPtr revIDLastSave="0" documentId="13_ncr:1_{50415542-9F8F-43FC-83E5-31B720365DE8}" xr6:coauthVersionLast="47" xr6:coauthVersionMax="47" xr10:uidLastSave="{00000000-0000-0000-0000-000000000000}"/>
  <bookViews>
    <workbookView xWindow="-120" yWindow="-120" windowWidth="29040" windowHeight="15720" xr2:uid="{AC9ACA46-28BA-41E3-A01B-25F3C6F0BFDF}"/>
  </bookViews>
  <sheets>
    <sheet name="Mapping" sheetId="2" r:id="rId1"/>
    <sheet name="July Batch" sheetId="1" state="hidden" r:id="rId2"/>
    <sheet name="IncomeStatement" sheetId="3" state="hidden" r:id="rId3"/>
    <sheet name="A&amp;G-ActualandBudgetVarianc" sheetId="4" state="hidden" r:id="rId4"/>
    <sheet name="ROOMSI&amp;II-ActualandBudgetV" sheetId="5" state="hidden" r:id="rId5"/>
  </sheets>
  <definedNames>
    <definedName name="_xlnm._FilterDatabase" localSheetId="1" hidden="1">'July Batch'!$A$1:$M$29</definedName>
    <definedName name="Ga6f250a8_46eb_4986_965c_2f007d9cdb55" localSheetId="3">'A&amp;G-ActualandBudgetVarianc'!$B$10:$S$59</definedName>
    <definedName name="Ga6f250a8_46eb_4986_965c_2f007d9cdb55" localSheetId="4">'ROOMSI&amp;II-ActualandBudgetV'!$B$10:$S$88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9" i="3" l="1"/>
  <c r="D150" i="3" s="1"/>
  <c r="C149" i="3"/>
  <c r="C150" i="3" s="1"/>
  <c r="B149" i="3"/>
  <c r="B150" i="3" s="1"/>
  <c r="E148" i="3"/>
  <c r="E147" i="3"/>
  <c r="E146" i="3"/>
  <c r="E145" i="3"/>
  <c r="E149" i="3" s="1"/>
  <c r="E150" i="3" s="1"/>
  <c r="E144" i="3"/>
  <c r="E143" i="3"/>
  <c r="E142" i="3"/>
  <c r="E141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D111" i="3"/>
  <c r="C111" i="3"/>
  <c r="B111" i="3"/>
  <c r="E110" i="3"/>
  <c r="E111" i="3" s="1"/>
  <c r="E108" i="3"/>
  <c r="E107" i="3"/>
  <c r="E106" i="3"/>
  <c r="E105" i="3"/>
  <c r="E104" i="3"/>
  <c r="E103" i="3"/>
  <c r="E102" i="3"/>
  <c r="E101" i="3"/>
  <c r="D100" i="3"/>
  <c r="C100" i="3"/>
  <c r="B100" i="3"/>
  <c r="E99" i="3"/>
  <c r="E100" i="3" s="1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D83" i="3"/>
  <c r="C83" i="3"/>
  <c r="B83" i="3"/>
  <c r="E82" i="3"/>
  <c r="E80" i="3"/>
  <c r="E79" i="3"/>
  <c r="E78" i="3"/>
  <c r="E77" i="3"/>
  <c r="E76" i="3"/>
  <c r="E75" i="3"/>
  <c r="E74" i="3"/>
  <c r="E73" i="3"/>
  <c r="D72" i="3"/>
  <c r="C72" i="3"/>
  <c r="B72" i="3"/>
  <c r="E71" i="3"/>
  <c r="E72" i="3" s="1"/>
  <c r="D69" i="3"/>
  <c r="C69" i="3"/>
  <c r="B69" i="3"/>
  <c r="E68" i="3"/>
  <c r="E69" i="3" s="1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D43" i="3"/>
  <c r="C43" i="3"/>
  <c r="B43" i="3"/>
  <c r="E42" i="3"/>
  <c r="D40" i="3"/>
  <c r="C40" i="3"/>
  <c r="B40" i="3"/>
  <c r="E39" i="3"/>
  <c r="E38" i="3"/>
  <c r="E40" i="3" s="1"/>
  <c r="D36" i="3"/>
  <c r="D137" i="3" s="1"/>
  <c r="C36" i="3"/>
  <c r="B36" i="3"/>
  <c r="B137" i="3" s="1"/>
  <c r="E35" i="3"/>
  <c r="E34" i="3"/>
  <c r="E36" i="3" s="1"/>
  <c r="D32" i="3"/>
  <c r="C32" i="3"/>
  <c r="C137" i="3" s="1"/>
  <c r="B32" i="3"/>
  <c r="E31" i="3"/>
  <c r="E30" i="3"/>
  <c r="E32" i="3" s="1"/>
  <c r="E137" i="3" s="1"/>
  <c r="D27" i="3"/>
  <c r="D26" i="3"/>
  <c r="C26" i="3"/>
  <c r="B26" i="3"/>
  <c r="E25" i="3"/>
  <c r="E24" i="3"/>
  <c r="E23" i="3"/>
  <c r="E22" i="3"/>
  <c r="E26" i="3" s="1"/>
  <c r="E21" i="3"/>
  <c r="E19" i="3"/>
  <c r="E27" i="3" s="1"/>
  <c r="D19" i="3"/>
  <c r="C19" i="3"/>
  <c r="C27" i="3" s="1"/>
  <c r="B19" i="3"/>
  <c r="B27" i="3" s="1"/>
  <c r="B138" i="3" s="1"/>
  <c r="B151" i="3" s="1"/>
  <c r="E18" i="3"/>
  <c r="E17" i="3"/>
  <c r="E16" i="3"/>
  <c r="E15" i="3"/>
  <c r="E14" i="3"/>
  <c r="E13" i="3"/>
  <c r="E12" i="3"/>
  <c r="E11" i="3"/>
  <c r="D138" i="3" l="1"/>
  <c r="D151" i="3" s="1"/>
  <c r="C138" i="3"/>
  <c r="C151" i="3" s="1"/>
  <c r="E138" i="3"/>
  <c r="E151" i="3" s="1"/>
</calcChain>
</file>

<file path=xl/sharedStrings.xml><?xml version="1.0" encoding="utf-8"?>
<sst xmlns="http://schemas.openxmlformats.org/spreadsheetml/2006/main" count="497" uniqueCount="332">
  <si>
    <t>External ID</t>
  </si>
  <si>
    <t>Import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</si>
  <si>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</si>
  <si>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</si>
  <si>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</si>
  <si>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</si>
  <si>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</si>
  <si>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</si>
  <si>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</si>
  <si>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</si>
  <si>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</si>
  <si>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</si>
  <si>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Location</t>
  </si>
  <si>
    <t>HEG-00015</t>
  </si>
  <si>
    <t>ACPRJUL2F383</t>
  </si>
  <si>
    <t>Payroll Period 07.05.2026 to 07.18.2026 # PD 07.24.2026</t>
  </si>
  <si>
    <t>Employer Benefits Cost - Payroll Period 07.05.2026 to 07.18.2026</t>
  </si>
  <si>
    <t>Rooms Employer Tax - Payroll Period 07.05.2026 to 07.18.2026</t>
  </si>
  <si>
    <t>Employer Match Retirement - Payroll Period 07.05.2026 to 07.18.2026</t>
  </si>
  <si>
    <t>A&amp;G Employer Tax - Payroll Period 07.05.2026 to 07.18.2026</t>
  </si>
  <si>
    <t>60050OT</t>
  </si>
  <si>
    <t>Guest Svc Rep OT - Payroll Period 07.05.2026 to 07.18.2026</t>
  </si>
  <si>
    <t>60050R</t>
  </si>
  <si>
    <t>Guest Service Wages - Payroll Period 07.05.2026 to 07.18.2026</t>
  </si>
  <si>
    <t>60350R</t>
  </si>
  <si>
    <t>Room Attendant Wages - Payroll Period 07.05.2026 to 07.18.2026</t>
  </si>
  <si>
    <t>60400OT</t>
  </si>
  <si>
    <t>Breakfast OT - Payroll Period 07.05.2026 to 07.18.2026</t>
  </si>
  <si>
    <t>60400R</t>
  </si>
  <si>
    <t>Breakfast Host Wages - Payroll Period 07.05.2026 to 07.18.2026</t>
  </si>
  <si>
    <t>60500R</t>
  </si>
  <si>
    <t>Hskping Laundry Wages - Payroll Period 07.05.2026 to 07.18.2026</t>
  </si>
  <si>
    <t>73000R</t>
  </si>
  <si>
    <t>GM Wages - Payroll Period 07.05.2026 to 07.18.2026</t>
  </si>
  <si>
    <t>73100R</t>
  </si>
  <si>
    <t>AGM Wages - Payroll Period 07.05.2026 to 07.18.2026</t>
  </si>
  <si>
    <t>Payroll Period 06.21.2026 to 07.04.2026 # PD 07.09.2026</t>
  </si>
  <si>
    <t>Employer Benefits Cost - Payroll Period 06.21.2026 to 07.04.2026 # PD 07.09.2026</t>
  </si>
  <si>
    <t>Reimbursements - Payroll Period 06.21.2026 to 07.04.2026 # PD 07.09.2026</t>
  </si>
  <si>
    <t>Rooms Employer Tax - Payroll Period 06.21.2026 to 07.04.2026 # PD 07.09.2026</t>
  </si>
  <si>
    <t>Employer Match Retirement - Payroll Period 06.21.2026 to 07.04.2026 # PD 07.09.2026</t>
  </si>
  <si>
    <t>A&amp;G Employer Tax - Payroll Period 06.21.2026 to 07.04.2026 # PD 07.09.2026</t>
  </si>
  <si>
    <t>Supplemental Pay - Payroll Period 06.21.2026 to 07.04.2026 # PD 07.09.2026</t>
  </si>
  <si>
    <t>Guest Service Wages - Payroll Period 06.21.2026 to 07.04.2026 # PD 07.09.2026</t>
  </si>
  <si>
    <t>60350OT</t>
  </si>
  <si>
    <t>Room Attendant OT - Payroll Period 06.21.2026 to 07.04.2026 # PD 07.09.2026</t>
  </si>
  <si>
    <t>Room Attendant Wages - Payroll Period 06.21.2026 to 07.04.2026 # PD 07.09.2026</t>
  </si>
  <si>
    <t>Breakfast OT - Payroll Period 06.21.2026 to 07.04.2026 # PD 07.09.2026</t>
  </si>
  <si>
    <t>Breakfast Host Wages - Payroll Period 06.21.2026 to 07.04.2026 # PD 07.09.2026</t>
  </si>
  <si>
    <t>Hskping Laundry Wages - Payroll Period 06.21.2026 to 07.04.2026 # PD 07.09.2026</t>
  </si>
  <si>
    <t>GM Wages - Payroll Period 06.21.2026 to 07.04.2026 # PD 07.09.2026</t>
  </si>
  <si>
    <t>AGM Wages - Payroll Period 06.21.2026 to 07.04.2026 # PD 07.09.2026</t>
  </si>
  <si>
    <t>ACFPRJUL1383</t>
  </si>
  <si>
    <t>Hotel Name</t>
  </si>
  <si>
    <t>Income Statement Name</t>
  </si>
  <si>
    <t>GL Account #</t>
  </si>
  <si>
    <t>ADP Dept Code</t>
  </si>
  <si>
    <t>Payroll Register Name</t>
  </si>
  <si>
    <t>Fairfield Inn &amp; Suites Gainesville</t>
  </si>
  <si>
    <t>Hotel Equities Group, LLC</t>
  </si>
  <si>
    <t>Hotel Equities Group (Parent) : Hotels : HE Core Hotels : Fairfield Inn &amp; Suites Gainesville</t>
  </si>
  <si>
    <t>Income Statement</t>
  </si>
  <si>
    <t>May 2026, Jun 2026, Jul 2026</t>
  </si>
  <si>
    <t/>
  </si>
  <si>
    <t>Financial Row</t>
  </si>
  <si>
    <t>May 2026</t>
  </si>
  <si>
    <t>Jun 2026</t>
  </si>
  <si>
    <t>Jul 2026</t>
  </si>
  <si>
    <t>Total</t>
  </si>
  <si>
    <t> </t>
  </si>
  <si>
    <t>Amount</t>
  </si>
  <si>
    <t>Ordinary Income/Expense</t>
  </si>
  <si>
    <t>Income</t>
  </si>
  <si>
    <t>40025 - Retail</t>
  </si>
  <si>
    <t>40060 - Discount</t>
  </si>
  <si>
    <t>40075 - Negotiated -Corporate</t>
  </si>
  <si>
    <t>40210 - Qualified</t>
  </si>
  <si>
    <t>40460 - SMERF</t>
  </si>
  <si>
    <t>40970 - Cancellation Fees - Hotel</t>
  </si>
  <si>
    <t>42250 - Gift Shop Income</t>
  </si>
  <si>
    <t>42430 - Meeting Room Rental</t>
  </si>
  <si>
    <t>Total - Income</t>
  </si>
  <si>
    <t>Cost Of Sales</t>
  </si>
  <si>
    <t>51000 - Cost of Local Calls</t>
  </si>
  <si>
    <t>51900 - Other Cost of Service</t>
  </si>
  <si>
    <t>51920 - IT-Cost of Cell Phones</t>
  </si>
  <si>
    <t>51950 - IT-Cost of Internet Services</t>
  </si>
  <si>
    <t>52250 - Cost of Gift Shop</t>
  </si>
  <si>
    <t>Total - Cost Of Sales</t>
  </si>
  <si>
    <t>Gross Profit</t>
  </si>
  <si>
    <t>Expense</t>
  </si>
  <si>
    <t>60050S - Guest Service Representatives</t>
  </si>
  <si>
    <t>60050OT - Guest Service Representatives Overtime</t>
  </si>
  <si>
    <t>60050R - Guest Service Representatives Regular Pay</t>
  </si>
  <si>
    <t>Total - 60050S - Guest Service Representatives</t>
  </si>
  <si>
    <t>60350S - Room Attendants</t>
  </si>
  <si>
    <t>60350OT - Room Attendants Overtime</t>
  </si>
  <si>
    <t>60350R - Room Attendants Regular Pay</t>
  </si>
  <si>
    <t>Total - 60350S - Room Attendants</t>
  </si>
  <si>
    <t>60400S - Breakfast Hostess</t>
  </si>
  <si>
    <t>60400OT - Breakfast Hostess Overtime</t>
  </si>
  <si>
    <t>60400R - Breakfast Hostess Regular Pay</t>
  </si>
  <si>
    <t>Total - 60400S - Breakfast Hostess</t>
  </si>
  <si>
    <t>60500S - Laundry Person</t>
  </si>
  <si>
    <t>60500R - Laundry Persons Regular Pay</t>
  </si>
  <si>
    <t>Total - 60500S - Laundry Person</t>
  </si>
  <si>
    <t>60920 - Payroll Taxes-Rooms</t>
  </si>
  <si>
    <t>60940 - Benefits-Rooms</t>
  </si>
  <si>
    <t>60960 - Workers Compensation-Rooms</t>
  </si>
  <si>
    <t>60990 - Supplemental Pay-Rooms</t>
  </si>
  <si>
    <t>61060 - Complimentary In-Room Entertain</t>
  </si>
  <si>
    <t>61120 - Contract Labor - Rooms</t>
  </si>
  <si>
    <t>61121 - Contract Labor-Room Attendant</t>
  </si>
  <si>
    <t>61125 - Contract Services - Rooms</t>
  </si>
  <si>
    <t>61220 - Reservation Assessments</t>
  </si>
  <si>
    <t>61260 - Complimentary Food and Beverage</t>
  </si>
  <si>
    <t>61310 - Complimentary Services and Gifts - Rooms</t>
  </si>
  <si>
    <t>61400 - Guest Relocation</t>
  </si>
  <si>
    <t>61485 - Laundry and Dry Cleaning</t>
  </si>
  <si>
    <t>61500 - Linens</t>
  </si>
  <si>
    <t>61550 - Cleaning Supplies - Rooms</t>
  </si>
  <si>
    <t>61600 - Guest Supplies - Rooms</t>
  </si>
  <si>
    <t>61620 - Operating Supplies - Rooms</t>
  </si>
  <si>
    <t>61710 - Commissions - Rooms</t>
  </si>
  <si>
    <t>61950 - Uniforms - Rooms</t>
  </si>
  <si>
    <t>72010 - Centralized Information System Charges</t>
  </si>
  <si>
    <t>72050 - Human Resources</t>
  </si>
  <si>
    <t>72110 - Information Systems</t>
  </si>
  <si>
    <t>72140 - Rooms</t>
  </si>
  <si>
    <t>73000S - General Manager</t>
  </si>
  <si>
    <t>73000R - General Manager Regular Pay</t>
  </si>
  <si>
    <t>Total - 73000S - General Manager</t>
  </si>
  <si>
    <t>73100S - Assistant General Manager</t>
  </si>
  <si>
    <t>73100R - Assistant General Manager Regular Pay</t>
  </si>
  <si>
    <t>Total - 73100S - Assistant General Manager</t>
  </si>
  <si>
    <t>73920 - Payroll Taxes-A&amp;G</t>
  </si>
  <si>
    <t>73940 - Benefits-A&amp;G</t>
  </si>
  <si>
    <t>73960 - Workers Compensation-A&amp;G</t>
  </si>
  <si>
    <t>73990 - Supplemental Pay-A&amp;G</t>
  </si>
  <si>
    <t>74045 - Provision for Doubtful Accounts</t>
  </si>
  <si>
    <t>74070 - Centralized Accounting Charges</t>
  </si>
  <si>
    <t>74080 - Bank Charges</t>
  </si>
  <si>
    <t>74120 - Cash O/S</t>
  </si>
  <si>
    <t>74155 - Credit Card Commissions</t>
  </si>
  <si>
    <t>74220 - Commissions - Third Party Credit Cards</t>
  </si>
  <si>
    <t>Total - 74155 - Credit Card Commissions</t>
  </si>
  <si>
    <t>74345 - Contract Services - A&amp;G</t>
  </si>
  <si>
    <t>74350 - Dues &amp; Subscriptions - A&amp;G</t>
  </si>
  <si>
    <t>74380 - Human Resources - A&amp;G</t>
  </si>
  <si>
    <t>74400 - Equipment Rental - A&amp;G</t>
  </si>
  <si>
    <t>74560 - Travel - Meals and Entertainment - A&amp;G</t>
  </si>
  <si>
    <t>74570 - Miscellaneous-A&amp;G</t>
  </si>
  <si>
    <t>74600 - Payroll Processing</t>
  </si>
  <si>
    <t>74620 - Operating Supplies - A&amp;G</t>
  </si>
  <si>
    <t>74640 - Postage and Overnight Delivery Charges - Hotel</t>
  </si>
  <si>
    <t>74760 - Security - Hotel</t>
  </si>
  <si>
    <t>74800 - Tax Discount</t>
  </si>
  <si>
    <t>74840 - Licenses and Permits - A&amp;G</t>
  </si>
  <si>
    <t>74850 - Tax Variance Expense</t>
  </si>
  <si>
    <t>74880 - Training Expense</t>
  </si>
  <si>
    <t>75010S - Director of Sales</t>
  </si>
  <si>
    <t>75010R - Director of Sales Regular Pay</t>
  </si>
  <si>
    <t>Total - 75010S - Director of Sales</t>
  </si>
  <si>
    <t>75920 - Payroll Taxes-Marketing</t>
  </si>
  <si>
    <t>75940 - Benefits-Marketing</t>
  </si>
  <si>
    <t>75960 - Workers Compensation-Marketing</t>
  </si>
  <si>
    <t>76350 - Dues &amp; Subscriptions Marketing</t>
  </si>
  <si>
    <t>76500 - Promotion</t>
  </si>
  <si>
    <t>76700 - Franchise and Affiliation Marketing</t>
  </si>
  <si>
    <t>76710 - Franchise Loyalty Programs</t>
  </si>
  <si>
    <t>76880 - Training - Marketing</t>
  </si>
  <si>
    <t>77000S - Maintenance Chief</t>
  </si>
  <si>
    <t>77000R - Maintenance Chief Regular Pay</t>
  </si>
  <si>
    <t>Total - 77000S - Maintenance Chief</t>
  </si>
  <si>
    <t>77940 - Payroll Taxes-Maint</t>
  </si>
  <si>
    <t>77960 - Benefits-Maint</t>
  </si>
  <si>
    <t>77980 - Workers Compensation-Maint</t>
  </si>
  <si>
    <t>78170 - Building Repairs</t>
  </si>
  <si>
    <t>78200 - Contract Labor - Maintenance</t>
  </si>
  <si>
    <t>78210 - Elevators and Escalators</t>
  </si>
  <si>
    <t>78230 - Electrical and Mechanical Equipment</t>
  </si>
  <si>
    <t>78270 - Life Safety</t>
  </si>
  <si>
    <t>78400 - Grounds &amp; Landscaping</t>
  </si>
  <si>
    <t>78410 - Heating, Ventilation, and Air Conditioning Equipme</t>
  </si>
  <si>
    <t>78420 - Laundry Equipment</t>
  </si>
  <si>
    <t>78460 - Light Bulbs</t>
  </si>
  <si>
    <t>78565 - Contract Services - Maintenance</t>
  </si>
  <si>
    <t>78600 - Painting and Wallcovering</t>
  </si>
  <si>
    <t>78620 - Plumbing - Maintenance</t>
  </si>
  <si>
    <t>78710 - Pool / Jacuzzi</t>
  </si>
  <si>
    <t>78850 - Engineering Supplies</t>
  </si>
  <si>
    <t>79120 - Electricity</t>
  </si>
  <si>
    <t>79160 - Gas Service</t>
  </si>
  <si>
    <t>79200 - Water and Sewer</t>
  </si>
  <si>
    <t>79350 - Waste Removal</t>
  </si>
  <si>
    <t>84330 - Franchise and Affiliation Fees - Royalties</t>
  </si>
  <si>
    <t>84340 - Incentive Management Fee</t>
  </si>
  <si>
    <t>84345 - Management Fee</t>
  </si>
  <si>
    <t>87923 - Plumbing</t>
  </si>
  <si>
    <t>Total - Expense</t>
  </si>
  <si>
    <t>Net Ordinary Income</t>
  </si>
  <si>
    <t>Other Income and Expenses</t>
  </si>
  <si>
    <t>Other Expense</t>
  </si>
  <si>
    <t>84350 - Asset Management Fee</t>
  </si>
  <si>
    <t>85100 - Liability Insurance</t>
  </si>
  <si>
    <t>85200 - Real Estate Tax</t>
  </si>
  <si>
    <t>86000 - Interest-Primary Mortgage</t>
  </si>
  <si>
    <t>87105 - Amortization Expense</t>
  </si>
  <si>
    <t>87500 - Owner Expenses</t>
  </si>
  <si>
    <t>87550 - Ownership - Professional Services</t>
  </si>
  <si>
    <t>87806 - EXTRAORDINARY REPAIRS - BUILDING</t>
  </si>
  <si>
    <t>Total - Other Expense</t>
  </si>
  <si>
    <t>Net Other Income</t>
  </si>
  <si>
    <t>Net Income</t>
  </si>
  <si>
    <t>Complimentary F&amp;B</t>
  </si>
  <si>
    <t>Guest Services</t>
  </si>
  <si>
    <t>Housekeeping</t>
  </si>
  <si>
    <t>Laundry</t>
  </si>
  <si>
    <t>Management</t>
  </si>
  <si>
    <t>A&amp;G Management</t>
  </si>
  <si>
    <t>Guest Service Representatives Overtime</t>
  </si>
  <si>
    <t>Breakfast Hostess Overtime</t>
  </si>
  <si>
    <t>Breakfast Hostess Regular Pay</t>
  </si>
  <si>
    <t>Assistant General Manager Regular Pay</t>
  </si>
  <si>
    <t>Guest Service Representatives Regular Pay</t>
  </si>
  <si>
    <t>Room Attendants Overtime</t>
  </si>
  <si>
    <t>Room Attendants Regular Pay</t>
  </si>
  <si>
    <t>Laundry Persons Regular Pay</t>
  </si>
  <si>
    <t>General Manager Regular Pay</t>
  </si>
  <si>
    <t>Guest Service Representatives</t>
  </si>
  <si>
    <t>Breakfast</t>
  </si>
  <si>
    <t>General Manager</t>
  </si>
  <si>
    <t>Asst. General Manager - A&amp;G</t>
  </si>
  <si>
    <t>2026</t>
  </si>
  <si>
    <t>2025</t>
  </si>
  <si>
    <t>PTD</t>
  </si>
  <si>
    <t>%</t>
  </si>
  <si>
    <t>PTD Budget</t>
  </si>
  <si>
    <t>Budget
Variance</t>
  </si>
  <si>
    <t>PTD Last Year</t>
  </si>
  <si>
    <t>Prior Year
Variance</t>
  </si>
  <si>
    <t>YTD</t>
  </si>
  <si>
    <t>YTD Budget</t>
  </si>
  <si>
    <t>YTD Budget
Variance</t>
  </si>
  <si>
    <t>YTD Prior Year</t>
  </si>
  <si>
    <t>YTD Prior Year
Variance</t>
  </si>
  <si>
    <t>A&amp;G DEPARTMENT</t>
  </si>
  <si>
    <t>Expenses</t>
  </si>
  <si>
    <t>Labor Costs and Related Expenses</t>
  </si>
  <si>
    <t>Salaries and Wages</t>
  </si>
  <si>
    <t>Subtotal: A&amp;G Salaries and Wages</t>
  </si>
  <si>
    <t>Contract Labor - A&amp;G</t>
  </si>
  <si>
    <t>Bonuses and Incentives - A&amp;G</t>
  </si>
  <si>
    <t>Total Salaries,Wages,Ser Chg,Contracted Labor &amp; Bonuses</t>
  </si>
  <si>
    <t>Payroll-Related Expenses</t>
  </si>
  <si>
    <t>Payroll Taxes-A&amp;G</t>
  </si>
  <si>
    <t>Benefits-A&amp;G</t>
  </si>
  <si>
    <t>Workers Compensation-A&amp;G</t>
  </si>
  <si>
    <t>Supplemental Pay-A&amp;G</t>
  </si>
  <si>
    <t>Total Payroll-Related Expenses</t>
  </si>
  <si>
    <t>Total Labor Costs and Related Expenses</t>
  </si>
  <si>
    <t>Other Expenses</t>
  </si>
  <si>
    <t>Audit Charges</t>
  </si>
  <si>
    <t>Centralized Accounting Charges</t>
  </si>
  <si>
    <t>Bank Charges</t>
  </si>
  <si>
    <t>Cash O/S</t>
  </si>
  <si>
    <t>Contract Services - A&amp;G</t>
  </si>
  <si>
    <t>Tax Discount</t>
  </si>
  <si>
    <t>Tax Variance Expense</t>
  </si>
  <si>
    <t>Credit Card Commissions</t>
  </si>
  <si>
    <t>Credit and Collections</t>
  </si>
  <si>
    <t>Dues &amp; Subscriptions - A&amp;G</t>
  </si>
  <si>
    <t>Equipment Rental - A&amp;G</t>
  </si>
  <si>
    <t>Human Resources - A&amp;G</t>
  </si>
  <si>
    <t>Licenses and Permits - A&amp;G</t>
  </si>
  <si>
    <t>Operating Supplies - A&amp;G</t>
  </si>
  <si>
    <t>Payroll Processing</t>
  </si>
  <si>
    <t>Postage and Overnight Delivery Charges - Hotel</t>
  </si>
  <si>
    <t>Provision for Doubtful Accounts</t>
  </si>
  <si>
    <t>Security - Hotel</t>
  </si>
  <si>
    <t>Training Expense</t>
  </si>
  <si>
    <t>Travel - Meals and Entertainment - A&amp;G</t>
  </si>
  <si>
    <t>Travel - Other - A&amp;G</t>
  </si>
  <si>
    <t>Miscellaneous-A&amp;G</t>
  </si>
  <si>
    <t>Total Other Expense</t>
  </si>
  <si>
    <t>Total A&amp;G Expenses</t>
  </si>
  <si>
    <t>ROOM DEPARTMENT</t>
  </si>
  <si>
    <t>Revenue</t>
  </si>
  <si>
    <t>Transient Rooms Revenue</t>
  </si>
  <si>
    <t>Retail</t>
  </si>
  <si>
    <t>Discount</t>
  </si>
  <si>
    <t>Negotiated</t>
  </si>
  <si>
    <t>Qualified</t>
  </si>
  <si>
    <t>Total Transient Rooms Revenue</t>
  </si>
  <si>
    <t>Group Rooms Revenue</t>
  </si>
  <si>
    <t>Corporate</t>
  </si>
  <si>
    <t>Government</t>
  </si>
  <si>
    <t>SMERF</t>
  </si>
  <si>
    <t>Total Group Rooms Revenue</t>
  </si>
  <si>
    <t>Contract Rooms Revenue</t>
  </si>
  <si>
    <t>Total Other Rooms Revenue</t>
  </si>
  <si>
    <t>Total Rooms Revenue</t>
  </si>
  <si>
    <t>Non-Management</t>
  </si>
  <si>
    <t>Front Desk</t>
  </si>
  <si>
    <t>Subtotal: Salaries &amp; Wages</t>
  </si>
  <si>
    <t>Contract Labor - Rooms</t>
  </si>
  <si>
    <t>Bonuses and Incentives</t>
  </si>
  <si>
    <t>Total Salaries,Wages,Contracted Labor and Bonuses</t>
  </si>
  <si>
    <t>Payroll Taxes-Rooms</t>
  </si>
  <si>
    <t>Benefits-Rooms</t>
  </si>
  <si>
    <t>Workers Compensation-Rooms</t>
  </si>
  <si>
    <t>Employee Meals-Rooms</t>
  </si>
  <si>
    <t>Supplemental Pay-Rooms</t>
  </si>
  <si>
    <t>Complimentary In-Room Entertain</t>
  </si>
  <si>
    <t>Contract Services - Rooms</t>
  </si>
  <si>
    <t>Entertainment - In-House</t>
  </si>
  <si>
    <t>Reservation Assessments</t>
  </si>
  <si>
    <t>Complimentary Food and Beverage</t>
  </si>
  <si>
    <t>Complimentary Services and Gifts - Rooms</t>
  </si>
  <si>
    <t>Guest Relocation</t>
  </si>
  <si>
    <t>Laundry and Dry Cleaning</t>
  </si>
  <si>
    <t>Linens</t>
  </si>
  <si>
    <t>Cleaning Supplies - Rooms</t>
  </si>
  <si>
    <t>Guest Supplies - Rooms</t>
  </si>
  <si>
    <t>Operating Supplies - Rooms</t>
  </si>
  <si>
    <t>Postage and Overnight Delivery Charges</t>
  </si>
  <si>
    <t>Commissions - Rooms</t>
  </si>
  <si>
    <t>Travel - Other - Rooms</t>
  </si>
  <si>
    <t>Uniforms - Rooms</t>
  </si>
  <si>
    <t>Total Other Expenses</t>
  </si>
  <si>
    <t>Total Rooms Expense</t>
  </si>
  <si>
    <t>Departmental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</si>
</sst>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164" formatCode=";;;@"/>
    <numFmt numFmtId="165" formatCode="#,##0.00%;\(#,##0.00%\)"/>
    <numFmt numFmtId="166" formatCode="#,##0;\-#,##0"/>
    <numFmt numFmtId="167" formatCode="#,##0;\(#,##0\)"/>
    <numFmt numFmtId="168" formatCode="\$#,##0.00;\(#,##0.00\)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sz val="8"/>
      <name val="Arial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  <font>
      <sz val="10"/>
      <color theme="1"/>
      <name val="Arial"/>
      <family val="2"/>
    </font>
    <font>
      <sz val="8"/>
      <color rgb="FF000000"/>
      <name val="Liberation Sans"/>
      <family val="2"/>
    </font>
    <font>
      <b/>
      <sz val="8"/>
      <color rgb="FF000000"/>
      <name val="Liberation Sans"/>
      <family val="2"/>
    </font>
    <font>
      <sz val="10"/>
      <color rgb="FF000000"/>
      <name val="Liberation Sans"/>
      <family val="2"/>
    </font>
    <font>
      <b/>
      <i/>
      <sz val="8"/>
      <color rgb="FF000000"/>
      <name val="Liberation Sans"/>
      <family val="2"/>
    </font>
    <font>
      <i/>
      <sz val="8"/>
      <color rgb="FF000000"/>
      <name val="Liberation Sans"/>
      <family val="2"/>
    </font>
    <font>
      <b/>
      <sz val="9"/>
      <color rgb="FF000000"/>
      <name val="Liberation Sans"/>
      <family val="2"/>
    </font>
    <font>
      <sz val="9"/>
      <color rgb="FF000000"/>
      <name val="Liberatio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75">
    <xf numFmtId="0" fontId="0" fillId="0" borderId="0"/>
    <xf numFmtId="0" fontId="3" fillId="0" borderId="0"/>
    <xf numFmtId="0" fontId="2" fillId="0" borderId="0"/>
    <xf numFmtId="0" fontId="9" fillId="0" borderId="0"/>
    <xf numFmtId="164" fontId="10" fillId="0" borderId="0" applyFill="0" applyBorder="0" applyProtection="0">
      <alignment horizontal="left" vertical="center" wrapText="1"/>
    </xf>
    <xf numFmtId="164" fontId="11" fillId="0" borderId="0" applyFill="0" applyBorder="0" applyProtection="0">
      <alignment horizontal="center" vertical="center" wrapText="1"/>
    </xf>
    <xf numFmtId="164" fontId="11" fillId="0" borderId="0" applyFill="0" applyBorder="0" applyProtection="0">
      <alignment horizontal="center" vertical="center" wrapText="1"/>
    </xf>
    <xf numFmtId="164" fontId="12" fillId="0" borderId="0" applyFill="0" applyBorder="0" applyProtection="0">
      <alignment horizontal="center" vertical="center" wrapText="1"/>
    </xf>
    <xf numFmtId="165" fontId="10" fillId="0" borderId="0" applyFill="0" applyBorder="0" applyProtection="0">
      <alignment horizontal="center" vertical="center" wrapText="1"/>
    </xf>
    <xf numFmtId="166" fontId="12" fillId="0" borderId="0" applyFill="0" applyBorder="0" applyProtection="0">
      <alignment horizontal="right" vertical="center" wrapText="1"/>
    </xf>
    <xf numFmtId="166" fontId="10" fillId="0" borderId="0" applyFill="0" applyBorder="0" applyProtection="0">
      <alignment horizontal="center" vertical="center" wrapText="1"/>
    </xf>
    <xf numFmtId="165" fontId="10" fillId="0" borderId="6" applyFill="0" applyProtection="0">
      <alignment horizontal="center" vertical="center" wrapText="1"/>
    </xf>
    <xf numFmtId="166" fontId="12" fillId="0" borderId="0" applyFill="0" applyBorder="0" applyProtection="0">
      <alignment horizontal="right" vertical="center" wrapText="1"/>
    </xf>
    <xf numFmtId="164" fontId="10" fillId="0" borderId="0" applyFill="0" applyBorder="0" applyProtection="0">
      <alignment horizontal="left" vertical="center" wrapText="1"/>
    </xf>
    <xf numFmtId="165" fontId="10" fillId="0" borderId="0" applyFill="0" applyBorder="0" applyProtection="0">
      <alignment horizontal="center" vertical="center" wrapText="1"/>
    </xf>
    <xf numFmtId="164" fontId="12" fillId="0" borderId="0" applyFill="0" applyBorder="0" applyProtection="0">
      <alignment horizontal="left" vertical="center" wrapText="1"/>
    </xf>
    <xf numFmtId="164" fontId="10" fillId="0" borderId="7" applyFill="0" applyProtection="0">
      <alignment horizontal="left" vertical="center" wrapText="1"/>
    </xf>
    <xf numFmtId="166" fontId="12" fillId="0" borderId="0" applyFill="0" applyBorder="0" applyProtection="0">
      <alignment horizontal="right" vertical="center" wrapText="1"/>
    </xf>
    <xf numFmtId="166" fontId="12" fillId="0" borderId="0" applyFill="0" applyBorder="0" applyProtection="0">
      <alignment horizontal="right" vertical="center" wrapText="1"/>
    </xf>
    <xf numFmtId="164" fontId="12" fillId="0" borderId="0" applyFill="0" applyBorder="0" applyProtection="0">
      <alignment horizontal="left" vertical="center" wrapText="1"/>
    </xf>
    <xf numFmtId="164" fontId="12" fillId="0" borderId="8" applyFill="0" applyProtection="0">
      <alignment horizontal="left" vertical="center" wrapText="1"/>
    </xf>
    <xf numFmtId="165" fontId="10" fillId="0" borderId="0" applyFill="0" applyBorder="0" applyProtection="0">
      <alignment horizontal="center" vertical="center"/>
    </xf>
    <xf numFmtId="165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4" fontId="11" fillId="0" borderId="0" applyFill="0" applyBorder="0" applyProtection="0">
      <alignment horizontal="left" vertical="center" wrapText="1"/>
    </xf>
    <xf numFmtId="166" fontId="12" fillId="0" borderId="8" applyFill="0" applyProtection="0">
      <alignment horizontal="right" vertical="center" wrapText="1"/>
    </xf>
    <xf numFmtId="164" fontId="10" fillId="0" borderId="0" applyFill="0" applyBorder="0" applyProtection="0">
      <alignment horizontal="left" vertical="center" wrapText="1"/>
    </xf>
    <xf numFmtId="167" fontId="10" fillId="0" borderId="0" applyFill="0" applyBorder="0" applyProtection="0">
      <alignment horizontal="center" vertical="center" wrapText="1"/>
    </xf>
    <xf numFmtId="164" fontId="11" fillId="0" borderId="7" applyFill="0" applyProtection="0">
      <alignment horizontal="left" vertical="center" wrapText="1"/>
    </xf>
    <xf numFmtId="166" fontId="12" fillId="0" borderId="0" applyFill="0" applyBorder="0" applyProtection="0">
      <alignment horizontal="right" vertical="center" wrapText="1"/>
    </xf>
    <xf numFmtId="165" fontId="10" fillId="0" borderId="7" applyFill="0" applyProtection="0">
      <alignment horizontal="center" vertical="center" wrapText="1"/>
    </xf>
    <xf numFmtId="164" fontId="11" fillId="0" borderId="7" applyFill="0" applyProtection="0">
      <alignment horizontal="left" vertical="center" wrapText="1"/>
    </xf>
    <xf numFmtId="164" fontId="10" fillId="0" borderId="0" applyFill="0" applyBorder="0" applyProtection="0">
      <alignment horizontal="left" vertical="center" wrapText="1"/>
    </xf>
    <xf numFmtId="164" fontId="10" fillId="0" borderId="0" applyFill="0" applyBorder="0" applyProtection="0">
      <alignment horizontal="left" vertical="center" wrapText="1"/>
    </xf>
    <xf numFmtId="166" fontId="12" fillId="0" borderId="7" applyFill="0" applyProtection="0">
      <alignment horizontal="right" vertical="center" wrapText="1"/>
    </xf>
    <xf numFmtId="167" fontId="10" fillId="0" borderId="0" applyFill="0" applyBorder="0" applyProtection="0">
      <alignment horizontal="center" vertical="center" wrapText="1"/>
    </xf>
    <xf numFmtId="164" fontId="12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7" applyFill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4" fontId="14" fillId="0" borderId="0" applyFill="0" applyBorder="0" applyProtection="0">
      <alignment horizontal="left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5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/>
    </xf>
    <xf numFmtId="164" fontId="12" fillId="0" borderId="7" applyFill="0" applyProtection="0">
      <alignment horizontal="left" vertical="center" wrapText="1"/>
    </xf>
    <xf numFmtId="167" fontId="10" fillId="0" borderId="7" applyFill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5" fontId="10" fillId="0" borderId="0" applyFill="0" applyBorder="0" applyProtection="0">
      <alignment horizontal="center" vertical="center" wrapText="1"/>
    </xf>
    <xf numFmtId="164" fontId="12" fillId="0" borderId="0" applyFill="0" applyBorder="0" applyProtection="0">
      <alignment horizontal="left" vertical="center" wrapText="1"/>
    </xf>
    <xf numFmtId="164" fontId="15" fillId="0" borderId="6" applyFill="0" applyProtection="0">
      <alignment horizontal="left" vertical="center" wrapText="1"/>
    </xf>
    <xf numFmtId="167" fontId="10" fillId="0" borderId="6" applyFill="0" applyProtection="0">
      <alignment horizontal="center" vertical="center" wrapText="1"/>
    </xf>
    <xf numFmtId="167" fontId="10" fillId="0" borderId="7" applyFill="0" applyProtection="0">
      <alignment horizontal="center" vertical="center" wrapText="1"/>
    </xf>
    <xf numFmtId="168" fontId="10" fillId="0" borderId="0" applyFill="0" applyBorder="0" applyProtection="0">
      <alignment horizontal="center" vertical="center" wrapText="1"/>
    </xf>
    <xf numFmtId="166" fontId="12" fillId="0" borderId="0" applyFill="0" applyBorder="0" applyProtection="0">
      <alignment horizontal="right" vertical="center" wrapText="1"/>
    </xf>
    <xf numFmtId="167" fontId="10" fillId="0" borderId="0" applyFill="0" applyBorder="0" applyProtection="0">
      <alignment horizontal="center" vertical="center" wrapText="1"/>
    </xf>
    <xf numFmtId="165" fontId="10" fillId="0" borderId="7" applyFill="0" applyProtection="0">
      <alignment horizontal="center" vertical="center"/>
    </xf>
    <xf numFmtId="167" fontId="10" fillId="0" borderId="7" applyFill="0" applyProtection="0">
      <alignment horizontal="center" vertical="center"/>
    </xf>
    <xf numFmtId="164" fontId="11" fillId="0" borderId="0" applyFill="0" applyBorder="0" applyProtection="0">
      <alignment horizontal="left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7" applyFill="0" applyProtection="0">
      <alignment horizontal="center" vertical="center" wrapText="1"/>
    </xf>
    <xf numFmtId="164" fontId="12" fillId="0" borderId="8" applyFill="0" applyProtection="0">
      <alignment horizontal="left" vertical="center" wrapText="1"/>
    </xf>
    <xf numFmtId="166" fontId="12" fillId="0" borderId="8" applyFill="0" applyProtection="0">
      <alignment horizontal="right" vertical="center" wrapText="1"/>
    </xf>
    <xf numFmtId="164" fontId="14" fillId="0" borderId="0" applyFill="0" applyBorder="0" applyProtection="0">
      <alignment horizontal="left" vertical="center" wrapText="1"/>
    </xf>
    <xf numFmtId="167" fontId="10" fillId="0" borderId="7" applyFill="0" applyProtection="0">
      <alignment horizontal="center" vertical="center" wrapText="1"/>
    </xf>
    <xf numFmtId="165" fontId="10" fillId="0" borderId="7" applyFill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0" applyFill="0" applyBorder="0" applyProtection="0">
      <alignment horizontal="center" vertical="center" wrapText="1"/>
    </xf>
    <xf numFmtId="167" fontId="10" fillId="0" borderId="6" applyFill="0" applyProtection="0">
      <alignment horizontal="center" vertical="center" wrapText="1"/>
    </xf>
    <xf numFmtId="166" fontId="12" fillId="0" borderId="6" applyFill="0" applyProtection="0">
      <alignment horizontal="right" vertical="center" wrapText="1"/>
    </xf>
    <xf numFmtId="166" fontId="12" fillId="0" borderId="7" applyFill="0" applyProtection="0">
      <alignment horizontal="right" vertical="center" wrapText="1"/>
    </xf>
  </cellStyleXfs>
  <cellXfs count="13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4" fillId="0" borderId="0" xfId="1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0" borderId="0" xfId="1"/>
    <xf numFmtId="0" fontId="5" fillId="0" borderId="0" xfId="1" applyFont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right"/>
    </xf>
    <xf numFmtId="0" fontId="7" fillId="0" borderId="0" xfId="1" applyFont="1" applyAlignment="1">
      <alignment horizontal="left" vertical="center"/>
    </xf>
    <xf numFmtId="7" fontId="7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left" indent="1"/>
    </xf>
    <xf numFmtId="0" fontId="8" fillId="0" borderId="0" xfId="1" applyFont="1" applyAlignment="1">
      <alignment horizontal="left" indent="2"/>
    </xf>
    <xf numFmtId="7" fontId="8" fillId="0" borderId="0" xfId="1" applyNumberFormat="1" applyFont="1" applyAlignment="1">
      <alignment horizontal="right" vertical="center"/>
    </xf>
    <xf numFmtId="0" fontId="7" fillId="0" borderId="1" xfId="1" applyFont="1" applyBorder="1" applyAlignment="1">
      <alignment horizontal="left" indent="1"/>
    </xf>
    <xf numFmtId="7" fontId="7" fillId="0" borderId="1" xfId="1" applyNumberFormat="1" applyFont="1" applyBorder="1" applyAlignment="1">
      <alignment horizontal="right" vertical="center"/>
    </xf>
    <xf numFmtId="0" fontId="7" fillId="0" borderId="2" xfId="1" applyFont="1" applyBorder="1" applyAlignment="1">
      <alignment horizontal="left" indent="1"/>
    </xf>
    <xf numFmtId="7" fontId="7" fillId="0" borderId="2" xfId="1" applyNumberFormat="1" applyFont="1" applyBorder="1" applyAlignment="1">
      <alignment horizontal="right" vertical="center"/>
    </xf>
    <xf numFmtId="0" fontId="7" fillId="0" borderId="0" xfId="1" applyFont="1" applyAlignment="1">
      <alignment horizontal="left" indent="2"/>
    </xf>
    <xf numFmtId="0" fontId="8" fillId="0" borderId="0" xfId="1" applyFont="1" applyAlignment="1">
      <alignment horizontal="left" indent="3"/>
    </xf>
    <xf numFmtId="0" fontId="7" fillId="0" borderId="1" xfId="1" applyFont="1" applyBorder="1" applyAlignment="1">
      <alignment horizontal="left" indent="2"/>
    </xf>
    <xf numFmtId="0" fontId="7" fillId="0" borderId="2" xfId="1" applyFont="1" applyBorder="1" applyAlignment="1">
      <alignment horizontal="left" vertical="center"/>
    </xf>
    <xf numFmtId="0" fontId="8" fillId="3" borderId="0" xfId="1" applyFont="1" applyFill="1" applyAlignment="1">
      <alignment horizontal="left" indent="3"/>
    </xf>
    <xf numFmtId="7" fontId="8" fillId="3" borderId="0" xfId="1" applyNumberFormat="1" applyFont="1" applyFill="1" applyAlignment="1">
      <alignment horizontal="right" vertical="center"/>
    </xf>
    <xf numFmtId="0" fontId="3" fillId="3" borderId="0" xfId="1" applyFill="1"/>
    <xf numFmtId="0" fontId="7" fillId="3" borderId="1" xfId="1" applyFont="1" applyFill="1" applyBorder="1" applyAlignment="1">
      <alignment horizontal="left" indent="2"/>
    </xf>
    <xf numFmtId="7" fontId="7" fillId="3" borderId="1" xfId="1" applyNumberFormat="1" applyFont="1" applyFill="1" applyBorder="1" applyAlignment="1">
      <alignment horizontal="right" vertical="center"/>
    </xf>
    <xf numFmtId="0" fontId="1" fillId="4" borderId="3" xfId="0" applyFont="1" applyFill="1" applyBorder="1"/>
    <xf numFmtId="0" fontId="9" fillId="0" borderId="0" xfId="3"/>
    <xf numFmtId="164" fontId="10" fillId="0" borderId="0" xfId="4">
      <alignment horizontal="left" vertical="center" wrapText="1"/>
    </xf>
    <xf numFmtId="164" fontId="11" fillId="0" borderId="0" xfId="5">
      <alignment horizontal="center" vertical="center" wrapText="1"/>
    </xf>
    <xf numFmtId="164" fontId="11" fillId="0" borderId="0" xfId="6">
      <alignment horizontal="center" vertical="center" wrapText="1"/>
    </xf>
    <xf numFmtId="164" fontId="12" fillId="0" borderId="0" xfId="7">
      <alignment horizontal="center" vertical="center" wrapText="1"/>
    </xf>
    <xf numFmtId="164" fontId="11" fillId="0" borderId="0" xfId="8" applyNumberFormat="1" applyFont="1" applyAlignment="1">
      <alignment horizontal="left" vertical="center" wrapText="1"/>
    </xf>
    <xf numFmtId="166" fontId="12" fillId="0" borderId="0" xfId="9">
      <alignment horizontal="right" vertical="center" wrapText="1"/>
    </xf>
    <xf numFmtId="166" fontId="10" fillId="0" borderId="0" xfId="10">
      <alignment horizontal="center" vertical="center" wrapText="1"/>
    </xf>
    <xf numFmtId="164" fontId="13" fillId="0" borderId="0" xfId="11" applyNumberFormat="1" applyFont="1" applyBorder="1" applyAlignment="1">
      <alignment horizontal="left" vertical="center" wrapText="1"/>
    </xf>
    <xf numFmtId="0" fontId="9" fillId="3" borderId="0" xfId="3" applyFill="1"/>
    <xf numFmtId="164" fontId="10" fillId="3" borderId="0" xfId="12" applyNumberFormat="1" applyFont="1" applyFill="1" applyAlignment="1">
      <alignment horizontal="left" vertical="center" wrapText="1"/>
    </xf>
    <xf numFmtId="167" fontId="10" fillId="3" borderId="0" xfId="13" applyNumberFormat="1" applyFill="1" applyAlignment="1">
      <alignment horizontal="center" vertical="center" wrapText="1"/>
    </xf>
    <xf numFmtId="165" fontId="10" fillId="3" borderId="0" xfId="14" applyFill="1">
      <alignment horizontal="center" vertical="center" wrapText="1"/>
    </xf>
    <xf numFmtId="167" fontId="10" fillId="3" borderId="0" xfId="15" applyNumberFormat="1" applyFont="1" applyFill="1" applyAlignment="1">
      <alignment horizontal="center" vertical="center" wrapText="1"/>
    </xf>
    <xf numFmtId="167" fontId="10" fillId="3" borderId="0" xfId="16" applyNumberFormat="1" applyFill="1" applyBorder="1" applyAlignment="1">
      <alignment horizontal="center" vertical="center" wrapText="1"/>
    </xf>
    <xf numFmtId="166" fontId="12" fillId="3" borderId="0" xfId="17" applyFill="1">
      <alignment horizontal="right" vertical="center" wrapText="1"/>
    </xf>
    <xf numFmtId="167" fontId="10" fillId="3" borderId="0" xfId="18" applyNumberFormat="1" applyFont="1" applyFill="1" applyAlignment="1">
      <alignment horizontal="center" vertical="center" wrapText="1"/>
    </xf>
    <xf numFmtId="164" fontId="11" fillId="0" borderId="0" xfId="19" applyFont="1">
      <alignment horizontal="left" vertical="center" wrapText="1"/>
    </xf>
    <xf numFmtId="167" fontId="10" fillId="0" borderId="0" xfId="15" applyNumberFormat="1" applyFont="1" applyAlignment="1">
      <alignment horizontal="center" vertical="center" wrapText="1"/>
    </xf>
    <xf numFmtId="165" fontId="10" fillId="0" borderId="0" xfId="14">
      <alignment horizontal="center" vertical="center" wrapText="1"/>
    </xf>
    <xf numFmtId="167" fontId="10" fillId="0" borderId="0" xfId="16" applyNumberFormat="1" applyBorder="1" applyAlignment="1">
      <alignment horizontal="center" vertical="center" wrapText="1"/>
    </xf>
    <xf numFmtId="166" fontId="12" fillId="0" borderId="0" xfId="17">
      <alignment horizontal="right" vertical="center" wrapText="1"/>
    </xf>
    <xf numFmtId="167" fontId="10" fillId="0" borderId="0" xfId="18" applyNumberFormat="1" applyFont="1" applyAlignment="1">
      <alignment horizontal="center" vertical="center" wrapText="1"/>
    </xf>
    <xf numFmtId="164" fontId="10" fillId="0" borderId="0" xfId="20" applyFont="1" applyBorder="1">
      <alignment horizontal="left" vertical="center" wrapText="1"/>
    </xf>
    <xf numFmtId="167" fontId="10" fillId="0" borderId="0" xfId="21" applyNumberFormat="1" applyAlignment="1">
      <alignment horizontal="center" vertical="center" wrapText="1"/>
    </xf>
    <xf numFmtId="165" fontId="10" fillId="0" borderId="0" xfId="22">
      <alignment horizontal="center" vertical="center" wrapText="1"/>
    </xf>
    <xf numFmtId="167" fontId="10" fillId="0" borderId="0" xfId="23">
      <alignment horizontal="center" vertical="center" wrapText="1"/>
    </xf>
    <xf numFmtId="164" fontId="12" fillId="0" borderId="8" xfId="24" applyFont="1" applyBorder="1">
      <alignment horizontal="left" vertical="center" wrapText="1"/>
    </xf>
    <xf numFmtId="166" fontId="12" fillId="0" borderId="8" xfId="25">
      <alignment horizontal="right" vertical="center" wrapText="1"/>
    </xf>
    <xf numFmtId="164" fontId="11" fillId="0" borderId="0" xfId="26" applyFont="1">
      <alignment horizontal="left" vertical="center" wrapText="1"/>
    </xf>
    <xf numFmtId="164" fontId="10" fillId="0" borderId="0" xfId="12" applyNumberFormat="1" applyFont="1" applyAlignment="1">
      <alignment horizontal="left" vertical="center" wrapText="1"/>
    </xf>
    <xf numFmtId="167" fontId="10" fillId="0" borderId="0" xfId="13" applyNumberFormat="1" applyAlignment="1">
      <alignment horizontal="center" vertical="center" wrapText="1"/>
    </xf>
    <xf numFmtId="167" fontId="10" fillId="0" borderId="0" xfId="27">
      <alignment horizontal="center" vertical="center" wrapText="1"/>
    </xf>
    <xf numFmtId="164" fontId="11" fillId="0" borderId="7" xfId="28">
      <alignment horizontal="left" vertical="center" wrapText="1"/>
    </xf>
    <xf numFmtId="167" fontId="10" fillId="0" borderId="7" xfId="29" applyNumberFormat="1" applyFont="1" applyBorder="1" applyAlignment="1">
      <alignment horizontal="center" vertical="center" wrapText="1"/>
    </xf>
    <xf numFmtId="165" fontId="10" fillId="0" borderId="7" xfId="30">
      <alignment horizontal="center" vertical="center" wrapText="1"/>
    </xf>
    <xf numFmtId="167" fontId="10" fillId="0" borderId="7" xfId="31" applyNumberFormat="1" applyFont="1" applyAlignment="1">
      <alignment horizontal="center" vertical="center" wrapText="1"/>
    </xf>
    <xf numFmtId="166" fontId="12" fillId="0" borderId="7" xfId="32" applyNumberFormat="1" applyFont="1" applyBorder="1" applyAlignment="1">
      <alignment horizontal="right" vertical="center" wrapText="1"/>
    </xf>
    <xf numFmtId="167" fontId="10" fillId="0" borderId="7" xfId="33" applyNumberFormat="1" applyBorder="1" applyAlignment="1">
      <alignment horizontal="center" vertical="center" wrapText="1"/>
    </xf>
    <xf numFmtId="164" fontId="12" fillId="0" borderId="0" xfId="34" applyNumberFormat="1" applyBorder="1" applyAlignment="1">
      <alignment horizontal="left" vertical="center" wrapText="1"/>
    </xf>
    <xf numFmtId="167" fontId="10" fillId="0" borderId="0" xfId="35">
      <alignment horizontal="center" vertical="center" wrapText="1"/>
    </xf>
    <xf numFmtId="164" fontId="10" fillId="0" borderId="0" xfId="6" applyFont="1" applyAlignment="1">
      <alignment horizontal="left" vertical="center" wrapText="1"/>
    </xf>
    <xf numFmtId="164" fontId="11" fillId="0" borderId="0" xfId="7" applyFont="1">
      <alignment horizontal="center" vertical="center" wrapText="1"/>
    </xf>
    <xf numFmtId="164" fontId="12" fillId="0" borderId="0" xfId="36">
      <alignment horizontal="center" vertical="center" wrapText="1"/>
    </xf>
    <xf numFmtId="164" fontId="11" fillId="0" borderId="0" xfId="13" applyFont="1">
      <alignment horizontal="left" vertical="center" wrapText="1"/>
    </xf>
    <xf numFmtId="166" fontId="10" fillId="0" borderId="0" xfId="9" applyFont="1" applyAlignment="1">
      <alignment horizontal="center" vertical="center" wrapText="1"/>
    </xf>
    <xf numFmtId="166" fontId="12" fillId="0" borderId="0" xfId="20" applyNumberFormat="1" applyBorder="1" applyAlignment="1">
      <alignment horizontal="right" vertical="center" wrapText="1"/>
    </xf>
    <xf numFmtId="164" fontId="12" fillId="0" borderId="0" xfId="15">
      <alignment horizontal="left" vertical="center" wrapText="1"/>
    </xf>
    <xf numFmtId="164" fontId="10" fillId="0" borderId="0" xfId="29" applyNumberFormat="1" applyFont="1" applyAlignment="1">
      <alignment horizontal="left" vertical="center" wrapText="1"/>
    </xf>
    <xf numFmtId="167" fontId="10" fillId="0" borderId="0" xfId="37">
      <alignment horizontal="center" vertical="center" wrapText="1"/>
    </xf>
    <xf numFmtId="165" fontId="10" fillId="0" borderId="0" xfId="10" applyNumberFormat="1">
      <alignment horizontal="center" vertical="center" wrapText="1"/>
    </xf>
    <xf numFmtId="167" fontId="10" fillId="0" borderId="0" xfId="38">
      <alignment horizontal="center" vertical="center" wrapText="1"/>
    </xf>
    <xf numFmtId="167" fontId="10" fillId="0" borderId="0" xfId="39">
      <alignment horizontal="center" vertical="center" wrapText="1"/>
    </xf>
    <xf numFmtId="167" fontId="10" fillId="0" borderId="0" xfId="40">
      <alignment horizontal="center" vertical="center" wrapText="1"/>
    </xf>
    <xf numFmtId="164" fontId="12" fillId="0" borderId="8" xfId="18" applyNumberFormat="1" applyBorder="1" applyAlignment="1">
      <alignment horizontal="left" vertical="center" wrapText="1"/>
    </xf>
    <xf numFmtId="166" fontId="12" fillId="0" borderId="8" xfId="14" applyNumberFormat="1" applyFont="1" applyBorder="1" applyAlignment="1">
      <alignment horizontal="right" vertical="center" wrapText="1"/>
    </xf>
    <xf numFmtId="164" fontId="11" fillId="0" borderId="0" xfId="33" applyFont="1">
      <alignment horizontal="left" vertical="center" wrapText="1"/>
    </xf>
    <xf numFmtId="167" fontId="10" fillId="0" borderId="0" xfId="41" applyBorder="1">
      <alignment horizontal="center" vertical="center" wrapText="1"/>
    </xf>
    <xf numFmtId="165" fontId="10" fillId="0" borderId="0" xfId="25" applyNumberFormat="1" applyFont="1" applyBorder="1" applyAlignment="1">
      <alignment horizontal="center" vertical="center" wrapText="1"/>
    </xf>
    <xf numFmtId="167" fontId="10" fillId="0" borderId="0" xfId="42">
      <alignment horizontal="center" vertical="center" wrapText="1"/>
    </xf>
    <xf numFmtId="166" fontId="12" fillId="0" borderId="0" xfId="43" applyNumberFormat="1" applyFont="1" applyAlignment="1">
      <alignment horizontal="right" vertical="center" wrapText="1"/>
    </xf>
    <xf numFmtId="167" fontId="10" fillId="0" borderId="0" xfId="44">
      <alignment horizontal="center" vertical="center" wrapText="1"/>
    </xf>
    <xf numFmtId="164" fontId="10" fillId="0" borderId="0" xfId="16" applyBorder="1">
      <alignment horizontal="left" vertical="center" wrapText="1"/>
    </xf>
    <xf numFmtId="167" fontId="10" fillId="0" borderId="0" xfId="45">
      <alignment horizontal="center" vertical="center" wrapText="1"/>
    </xf>
    <xf numFmtId="165" fontId="10" fillId="0" borderId="0" xfId="46">
      <alignment horizontal="center" vertical="center" wrapText="1"/>
    </xf>
    <xf numFmtId="167" fontId="10" fillId="0" borderId="0" xfId="47" applyAlignment="1">
      <alignment horizontal="center" vertical="center" wrapText="1"/>
    </xf>
    <xf numFmtId="164" fontId="11" fillId="0" borderId="0" xfId="28" applyBorder="1">
      <alignment horizontal="left" vertical="center" wrapText="1"/>
    </xf>
    <xf numFmtId="166" fontId="10" fillId="0" borderId="0" xfId="48" applyNumberFormat="1" applyFont="1" applyBorder="1" applyAlignment="1">
      <alignment horizontal="right" vertical="center" wrapText="1"/>
    </xf>
    <xf numFmtId="166" fontId="10" fillId="0" borderId="0" xfId="8" applyNumberFormat="1" applyAlignment="1">
      <alignment horizontal="right" vertical="center" wrapText="1"/>
    </xf>
    <xf numFmtId="164" fontId="10" fillId="0" borderId="0" xfId="19" applyFont="1">
      <alignment horizontal="left" vertical="center" wrapText="1"/>
    </xf>
    <xf numFmtId="164" fontId="10" fillId="0" borderId="0" xfId="32">
      <alignment horizontal="left" vertical="center" wrapText="1"/>
    </xf>
    <xf numFmtId="167" fontId="10" fillId="0" borderId="0" xfId="49" applyBorder="1">
      <alignment horizontal="center" vertical="center" wrapText="1"/>
    </xf>
    <xf numFmtId="165" fontId="10" fillId="0" borderId="0" xfId="34" applyNumberFormat="1" applyFont="1" applyBorder="1" applyAlignment="1">
      <alignment horizontal="center" vertical="center" wrapText="1"/>
    </xf>
    <xf numFmtId="167" fontId="10" fillId="0" borderId="0" xfId="50">
      <alignment horizontal="center" vertical="center" wrapText="1"/>
    </xf>
    <xf numFmtId="167" fontId="10" fillId="0" borderId="0" xfId="51">
      <alignment horizontal="center" vertical="center" wrapText="1"/>
    </xf>
    <xf numFmtId="165" fontId="10" fillId="0" borderId="0" xfId="52">
      <alignment horizontal="center" vertical="center" wrapText="1"/>
    </xf>
    <xf numFmtId="164" fontId="12" fillId="0" borderId="0" xfId="53">
      <alignment horizontal="left" vertical="center" wrapText="1"/>
    </xf>
    <xf numFmtId="166" fontId="12" fillId="0" borderId="0" xfId="11" applyNumberFormat="1" applyFont="1" applyBorder="1" applyAlignment="1">
      <alignment horizontal="right" vertical="center" wrapText="1"/>
    </xf>
    <xf numFmtId="164" fontId="11" fillId="0" borderId="0" xfId="54" applyFont="1" applyBorder="1">
      <alignment horizontal="left" vertical="center" wrapText="1"/>
    </xf>
    <xf numFmtId="167" fontId="10" fillId="0" borderId="0" xfId="55" applyBorder="1">
      <alignment horizontal="center" vertical="center" wrapText="1"/>
    </xf>
    <xf numFmtId="165" fontId="10" fillId="0" borderId="0" xfId="12" applyNumberFormat="1" applyFont="1" applyAlignment="1">
      <alignment horizontal="center" vertical="center" wrapText="1"/>
    </xf>
    <xf numFmtId="167" fontId="10" fillId="0" borderId="0" xfId="56" applyBorder="1">
      <alignment horizontal="center" vertical="center" wrapText="1"/>
    </xf>
    <xf numFmtId="167" fontId="10" fillId="0" borderId="0" xfId="57" applyNumberFormat="1">
      <alignment horizontal="center" vertical="center" wrapText="1"/>
    </xf>
    <xf numFmtId="164" fontId="10" fillId="0" borderId="0" xfId="58" applyNumberFormat="1" applyFont="1" applyAlignment="1">
      <alignment horizontal="left" vertical="center" wrapText="1"/>
    </xf>
    <xf numFmtId="164" fontId="10" fillId="0" borderId="7" xfId="31" applyFont="1">
      <alignment horizontal="left" vertical="center" wrapText="1"/>
    </xf>
    <xf numFmtId="167" fontId="10" fillId="0" borderId="7" xfId="59" applyBorder="1" applyAlignment="1">
      <alignment horizontal="center" vertical="center"/>
    </xf>
    <xf numFmtId="165" fontId="10" fillId="0" borderId="7" xfId="60">
      <alignment horizontal="center" vertical="center"/>
    </xf>
    <xf numFmtId="167" fontId="10" fillId="0" borderId="7" xfId="61">
      <alignment horizontal="center" vertical="center"/>
    </xf>
    <xf numFmtId="166" fontId="12" fillId="0" borderId="7" xfId="62" applyNumberFormat="1" applyFont="1" applyBorder="1" applyAlignment="1">
      <alignment horizontal="right" vertical="center" wrapText="1"/>
    </xf>
    <xf numFmtId="167" fontId="10" fillId="0" borderId="7" xfId="63" applyBorder="1">
      <alignment horizontal="center" vertical="center" wrapText="1"/>
    </xf>
    <xf numFmtId="167" fontId="10" fillId="0" borderId="7" xfId="64">
      <alignment horizontal="center" vertical="center" wrapText="1"/>
    </xf>
    <xf numFmtId="164" fontId="11" fillId="0" borderId="0" xfId="65" applyFont="1" applyBorder="1">
      <alignment horizontal="left" vertical="center" wrapText="1"/>
    </xf>
    <xf numFmtId="164" fontId="13" fillId="0" borderId="0" xfId="66" applyNumberFormat="1" applyFont="1" applyBorder="1" applyAlignment="1">
      <alignment horizontal="left" vertical="center" wrapText="1"/>
    </xf>
    <xf numFmtId="166" fontId="10" fillId="0" borderId="0" xfId="24" applyNumberFormat="1" applyFont="1" applyAlignment="1">
      <alignment horizontal="right" vertical="center" wrapText="1"/>
    </xf>
    <xf numFmtId="164" fontId="11" fillId="0" borderId="7" xfId="67" applyFont="1" applyBorder="1">
      <alignment horizontal="left" vertical="center" wrapText="1"/>
    </xf>
    <xf numFmtId="167" fontId="10" fillId="0" borderId="7" xfId="68">
      <alignment horizontal="center" vertical="center" wrapText="1"/>
    </xf>
    <xf numFmtId="164" fontId="15" fillId="0" borderId="6" xfId="69" applyNumberFormat="1" applyFont="1" applyBorder="1" applyAlignment="1">
      <alignment horizontal="left" vertical="center" wrapText="1"/>
    </xf>
    <xf numFmtId="167" fontId="16" fillId="0" borderId="6" xfId="70" applyFont="1" applyBorder="1">
      <alignment horizontal="center" vertical="center" wrapText="1"/>
    </xf>
    <xf numFmtId="165" fontId="16" fillId="0" borderId="6" xfId="71" applyNumberFormat="1" applyFont="1" applyBorder="1">
      <alignment horizontal="center" vertical="center" wrapText="1"/>
    </xf>
    <xf numFmtId="167" fontId="16" fillId="0" borderId="6" xfId="72" applyFont="1">
      <alignment horizontal="center" vertical="center" wrapText="1"/>
    </xf>
    <xf numFmtId="166" fontId="12" fillId="0" borderId="6" xfId="73">
      <alignment horizontal="right" vertical="center" wrapText="1"/>
    </xf>
    <xf numFmtId="167" fontId="16" fillId="0" borderId="6" xfId="74" applyNumberFormat="1" applyFont="1" applyBorder="1" applyAlignment="1">
      <alignment horizontal="center" vertical="center" wrapText="1"/>
    </xf>
  </cellXfs>
  <cellStyles count="75">
    <cellStyle name="B_1_0" xfId="4" xr:uid="{3A9776AE-8B49-4E70-BEA3-D77CE7BCEEE0}"/>
    <cellStyle name="B_1_1" xfId="5" xr:uid="{BCAB1054-8F0F-43E2-84D0-E9FAE42DF582}"/>
    <cellStyle name="B_1_10" xfId="30" xr:uid="{8C4EF7F4-7843-4BC9-A116-9E2CDCAAA8F5}"/>
    <cellStyle name="B_1_10_RT" xfId="60" xr:uid="{F259397D-742F-41AB-98FC-2CE73C77015E}"/>
    <cellStyle name="B_1_11" xfId="8" xr:uid="{3AB0B13D-079B-45FF-ABE2-AE0900A27479}"/>
    <cellStyle name="B_1_12" xfId="34" xr:uid="{BFDB2084-DED5-4397-B40F-401AEA6B47CF}"/>
    <cellStyle name="B_1_12_RT" xfId="52" xr:uid="{E99980A1-47E0-4ABC-A913-879A3EE90C1A}"/>
    <cellStyle name="B_1_13" xfId="11" xr:uid="{D07A04AA-3D49-4E63-ACBD-67BAB93093D3}"/>
    <cellStyle name="B_1_14" xfId="12" xr:uid="{62EB1A1F-FA01-45C1-BFDC-44C655B7E5D8}"/>
    <cellStyle name="B_1_15" xfId="24" xr:uid="{D3E7A3DD-D2F3-4A16-B7A1-6649606927DC}"/>
    <cellStyle name="B_1_16" xfId="19" xr:uid="{78483092-1331-43CF-BE30-39AEFEACBA90}"/>
    <cellStyle name="B_1_17" xfId="20" xr:uid="{1E93D976-8E38-45EC-A2BC-A6E80AF1AAC1}"/>
    <cellStyle name="B_1_18" xfId="26" xr:uid="{E30C258A-A34A-4473-9A9B-D7CFF699AFE5}"/>
    <cellStyle name="B_1_19" xfId="28" xr:uid="{C2431E12-FC0A-41C2-9580-DB99FB87BD03}"/>
    <cellStyle name="B_1_2" xfId="6" xr:uid="{A8CED3CE-C3C6-410A-B8C7-4C1E58A89B18}"/>
    <cellStyle name="B_1_20" xfId="32" xr:uid="{9CFA5FBB-2AB8-407F-98BB-4B5296545F00}"/>
    <cellStyle name="B_1_21" xfId="13" xr:uid="{0474A736-D9C9-49A1-B0A0-DF00AF05A6E2}"/>
    <cellStyle name="B_1_21_RT" xfId="27" xr:uid="{7EBB3BDC-6823-4C0A-81BA-D06803C847D6}"/>
    <cellStyle name="B_1_22" xfId="15" xr:uid="{BB64F06F-88D9-4554-9D11-5604FBC643C8}"/>
    <cellStyle name="B_1_22_RT" xfId="21" xr:uid="{48BEB3ED-C520-4013-8E44-44CFC67FFA27}"/>
    <cellStyle name="B_1_23" xfId="29" xr:uid="{2BE2EE20-6BAB-49BC-8709-720C54839332}"/>
    <cellStyle name="B_1_24" xfId="18" xr:uid="{E707F751-5CAB-4368-8144-B62BEDBBC373}"/>
    <cellStyle name="B_1_24_RT" xfId="35" xr:uid="{F4B04226-58D0-49A8-A3B8-03CE19FBE35B}"/>
    <cellStyle name="B_1_25" xfId="33" xr:uid="{B5007A4D-D3F4-49AA-951D-9AC05D57BEEC}"/>
    <cellStyle name="B_1_26" xfId="16" xr:uid="{ED22E379-7BA3-4814-830A-ED6A906A4239}"/>
    <cellStyle name="B_1_26_RT" xfId="23" xr:uid="{2E3A40F5-1696-4DFF-8F98-BD8135B7B4BB}"/>
    <cellStyle name="B_1_27" xfId="31" xr:uid="{018E4907-3CBE-49F0-AB7B-AE871FF42691}"/>
    <cellStyle name="B_1_28" xfId="53" xr:uid="{B3FCBBE5-9D93-4BC9-BAA9-23AE411969C6}"/>
    <cellStyle name="B_1_29" xfId="58" xr:uid="{AFD9BCFC-48DC-46D9-8AAD-255BCB798D2E}"/>
    <cellStyle name="B_1_3" xfId="7" xr:uid="{E37024AF-0D5A-4D5D-9CF1-43BE618EFDBA}"/>
    <cellStyle name="B_1_30" xfId="65" xr:uid="{3003717B-993A-437A-81A3-2BDBC5257660}"/>
    <cellStyle name="B_1_31" xfId="66" xr:uid="{1CDF0F22-D397-47C7-A15E-E90A4FDE2D85}"/>
    <cellStyle name="B_1_33" xfId="67" xr:uid="{9B2C5836-152A-4E8E-9E8B-25DD7BFDEB38}"/>
    <cellStyle name="B_1_34" xfId="43" xr:uid="{7C394100-C607-4BBC-8149-7E9F2BF99535}"/>
    <cellStyle name="B_1_35" xfId="62" xr:uid="{CA931253-5397-40C6-8F05-1198F5790F85}"/>
    <cellStyle name="B_1_36" xfId="48" xr:uid="{65381D64-52FA-47A7-B279-DA7F5EFD7523}"/>
    <cellStyle name="B_1_37" xfId="73" xr:uid="{AB802772-0F97-4315-B169-DA8CB2D65E7A}"/>
    <cellStyle name="B_1_38" xfId="54" xr:uid="{FA1E3554-10FF-4578-8CEC-A3AECC6BA97F}"/>
    <cellStyle name="B_1_39" xfId="69" xr:uid="{92D61D2D-A781-4E16-B381-610C68F998B0}"/>
    <cellStyle name="B_1_4" xfId="36" xr:uid="{AC6D15F9-822B-4E11-A008-456FA3673118}"/>
    <cellStyle name="B_1_40" xfId="71" xr:uid="{16554789-6EB5-4717-B044-7D037D069F09}"/>
    <cellStyle name="B_1_41" xfId="37" xr:uid="{0CBEE734-F909-4CA4-82C6-09013693461C}"/>
    <cellStyle name="B_1_42" xfId="41" xr:uid="{F36935C6-8554-4EA1-97D9-58253AA7ABBF}"/>
    <cellStyle name="B_1_43" xfId="38" xr:uid="{0EA2D546-E860-4DAB-BA2B-6E0D9AA564A1}"/>
    <cellStyle name="B_1_43_RT" xfId="45" xr:uid="{BD7CAC39-B149-4867-B409-9EE217E1F2DB}"/>
    <cellStyle name="B_1_44" xfId="63" xr:uid="{9B711746-0F59-4B41-AD29-84D66B153FBB}"/>
    <cellStyle name="B_1_44_RT" xfId="59" xr:uid="{BE2CE0A6-4AFB-479F-8B29-3E0D4A8D0523}"/>
    <cellStyle name="B_1_45" xfId="49" xr:uid="{76134A4C-4657-45E5-AAB2-93DF0376F38C}"/>
    <cellStyle name="B_1_45_RT" xfId="51" xr:uid="{016D7CB6-9569-4038-8AFE-87FADF6E3D36}"/>
    <cellStyle name="B_1_46" xfId="55" xr:uid="{2CB0EB4C-4B0B-472B-A0BB-2FADD70D8C71}"/>
    <cellStyle name="B_1_47" xfId="70" xr:uid="{FC65EF24-A953-48E1-B42C-18DDA7CA769F}"/>
    <cellStyle name="B_1_48" xfId="39" xr:uid="{51CC1123-7D9C-4A21-B5CF-0231EBDA7B0B}"/>
    <cellStyle name="B_1_48_RT" xfId="47" xr:uid="{410025CC-A127-43F5-8698-81862F2DFB20}"/>
    <cellStyle name="B_1_49" xfId="42" xr:uid="{4DB0EAEC-CE78-4337-A6AA-FFC286BBD7D4}"/>
    <cellStyle name="B_1_5" xfId="9" xr:uid="{D8EC9959-3798-4908-BA4D-1F7913515196}"/>
    <cellStyle name="B_1_50" xfId="68" xr:uid="{70D59058-A035-423D-A90F-97130878908A}"/>
    <cellStyle name="B_1_50_RT" xfId="61" xr:uid="{61A69F80-D434-4ACD-8D58-B541B5982F63}"/>
    <cellStyle name="B_1_51" xfId="50" xr:uid="{DEF4FD3C-608C-47B4-B29B-79828557D75D}"/>
    <cellStyle name="B_1_52" xfId="56" xr:uid="{7B682A70-77F9-4BEC-BB5C-5510CE0EB794}"/>
    <cellStyle name="B_1_53" xfId="72" xr:uid="{BD4D43E5-0F37-44E5-96D9-745EACC92A6F}"/>
    <cellStyle name="B_1_54" xfId="40" xr:uid="{40F8511D-4D3D-458C-B8C2-8E75E7C87E08}"/>
    <cellStyle name="B_1_55" xfId="44" xr:uid="{FDFB1153-4A12-4AD2-81E4-2C92747A4629}"/>
    <cellStyle name="B_1_56" xfId="64" xr:uid="{CE8B4FB9-2D41-4DC5-84C5-CFF82925BEF2}"/>
    <cellStyle name="B_1_57" xfId="57" xr:uid="{5400067A-0E20-4DC4-AD50-6941A89B2B32}"/>
    <cellStyle name="B_1_58" xfId="74" xr:uid="{2FE24707-CF75-4B7C-A0D5-7EFDDBBDC939}"/>
    <cellStyle name="B_1_6" xfId="17" xr:uid="{C8BD8542-D6BF-40B4-864E-1D0A91A54707}"/>
    <cellStyle name="B_1_7" xfId="10" xr:uid="{7D6150E1-22E3-4420-81AC-34286013037B}"/>
    <cellStyle name="B_1_7_RT" xfId="46" xr:uid="{AB00D8A3-327D-49F9-8212-F07FB6F97997}"/>
    <cellStyle name="B_1_8" xfId="14" xr:uid="{15CAD255-4AFA-4004-AD1E-842F8F76BFCF}"/>
    <cellStyle name="B_1_8_RT" xfId="22" xr:uid="{37DF4138-0683-4DB3-9AC0-24C2F7C40E21}"/>
    <cellStyle name="B_1_9" xfId="25" xr:uid="{C232E65E-60C3-4828-A69E-14A236476BF9}"/>
    <cellStyle name="Normal" xfId="0" builtinId="0"/>
    <cellStyle name="Normal 2" xfId="2" xr:uid="{FFD30F5E-47A8-4A54-B4E6-E72E6848BAB8}"/>
    <cellStyle name="Normal 3" xfId="1" xr:uid="{A3EA3819-39B0-410A-87BD-276CA2942AE5}"/>
    <cellStyle name="Normal 4" xfId="3" xr:uid="{7104634C-7CA7-4A1B-A5E1-E87AF1E4A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171450</xdr:colOff>
      <xdr:row>1</xdr:row>
      <xdr:rowOff>0</xdr:rowOff>
    </xdr:from>
    <xdr:to>
      <xdr:col>9</xdr:col>
      <xdr:colOff>447675</xdr:colOff>
      <xdr:row>4</xdr:row>
      <xdr:rowOff>95250</xdr:rowOff>
    </xdr:to>
    <xdr:pic>
      <xdr:nvPicPr>
        <xdr:cNvPr id="2" name="Text1" descr="ace62b0d-40ed-41a3-98e5-0d4a1664f1a3">
          <a:extLst>
            <a:ext uri="{FF2B5EF4-FFF2-40B4-BE49-F238E27FC236}">
              <a16:creationId xmlns:a16="http://schemas.microsoft.com/office/drawing/2014/main" id="{B59BBE97-6DF6-488B-9EED-BCB87CC6C9B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161925"/>
          <a:ext cx="3248025" cy="581025"/>
        </a:xfrm>
        <a:prstGeom prst="rect">
          <a:avLst/>
        </a:prstGeom>
      </xdr:spPr>
    </xdr:pic>
    <xdr:clientData fLocksWithSheet="0"/>
  </xdr:twoCellAnchor>
  <xdr:twoCellAnchor editAs="absolute">
    <xdr:from>
      <xdr:col>16</xdr:col>
      <xdr:colOff>190500</xdr:colOff>
      <xdr:row>60</xdr:row>
      <xdr:rowOff>0</xdr:rowOff>
    </xdr:from>
    <xdr:to>
      <xdr:col>18</xdr:col>
      <xdr:colOff>0</xdr:colOff>
      <xdr:row>61</xdr:row>
      <xdr:rowOff>9525</xdr:rowOff>
    </xdr:to>
    <xdr:pic>
      <xdr:nvPicPr>
        <xdr:cNvPr id="3" name="Text2" descr="e904125e-2760-4090-b3b7-174bf2950f61">
          <a:extLst>
            <a:ext uri="{FF2B5EF4-FFF2-40B4-BE49-F238E27FC236}">
              <a16:creationId xmlns:a16="http://schemas.microsoft.com/office/drawing/2014/main" id="{96832168-4244-4275-BFAF-C667ED68E7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4075" y="13049250"/>
          <a:ext cx="1295400" cy="17145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542925</xdr:colOff>
      <xdr:row>1</xdr:row>
      <xdr:rowOff>0</xdr:rowOff>
    </xdr:from>
    <xdr:to>
      <xdr:col>11</xdr:col>
      <xdr:colOff>142875</xdr:colOff>
      <xdr:row>4</xdr:row>
      <xdr:rowOff>95250</xdr:rowOff>
    </xdr:to>
    <xdr:pic>
      <xdr:nvPicPr>
        <xdr:cNvPr id="2" name="Text1" descr="ace62b0d-40ed-41a3-98e5-0d4a1664f1a3">
          <a:extLst>
            <a:ext uri="{FF2B5EF4-FFF2-40B4-BE49-F238E27FC236}">
              <a16:creationId xmlns:a16="http://schemas.microsoft.com/office/drawing/2014/main" id="{69F80241-1347-405E-B8D2-D8B2F4A32EA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161925"/>
          <a:ext cx="4295775" cy="581025"/>
        </a:xfrm>
        <a:prstGeom prst="rect">
          <a:avLst/>
        </a:prstGeom>
      </xdr:spPr>
    </xdr:pic>
    <xdr:clientData fLocksWithSheet="0"/>
  </xdr:twoCellAnchor>
  <xdr:twoCellAnchor editAs="absolute">
    <xdr:from>
      <xdr:col>16</xdr:col>
      <xdr:colOff>171450</xdr:colOff>
      <xdr:row>88</xdr:row>
      <xdr:rowOff>0</xdr:rowOff>
    </xdr:from>
    <xdr:to>
      <xdr:col>17</xdr:col>
      <xdr:colOff>723900</xdr:colOff>
      <xdr:row>89</xdr:row>
      <xdr:rowOff>9525</xdr:rowOff>
    </xdr:to>
    <xdr:pic>
      <xdr:nvPicPr>
        <xdr:cNvPr id="3" name="Text2" descr="e904125e-2760-4090-b3b7-174bf2950f61">
          <a:extLst>
            <a:ext uri="{FF2B5EF4-FFF2-40B4-BE49-F238E27FC236}">
              <a16:creationId xmlns:a16="http://schemas.microsoft.com/office/drawing/2014/main" id="{C99C7262-E46E-443C-AF52-1ED30708DA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20700" y="19440525"/>
          <a:ext cx="1295400" cy="1714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5E5D-EAC6-4CB8-9DBB-5DCEC729EB8D}">
  <dimension ref="A1:F10"/>
  <sheetViews>
    <sheetView tabSelected="1" workbookViewId="0">
      <selection activeCell="H15" sqref="H15"/>
    </sheetView>
  </sheetViews>
  <sheetFormatPr defaultRowHeight="15"/>
  <cols>
    <col min="1" max="1" width="29.85546875" bestFit="1" customWidth="1"/>
    <col min="2" max="2" width="23.7109375" bestFit="1" customWidth="1"/>
    <col min="3" max="3" width="12.5703125" bestFit="1" customWidth="1"/>
    <col min="4" max="4" width="15" bestFit="1" customWidth="1"/>
    <col min="5" max="5" width="38.5703125" bestFit="1" customWidth="1"/>
    <col min="6" max="6" width="27.42578125" bestFit="1" customWidth="1"/>
  </cols>
  <sheetData>
    <row r="1" spans="1:6">
      <c r="A1" s="28" t="s">
        <v>53</v>
      </c>
      <c r="B1" s="28" t="s">
        <v>54</v>
      </c>
      <c r="C1" s="28" t="s">
        <v>55</v>
      </c>
      <c r="D1" s="28" t="s">
        <v>56</v>
      </c>
      <c r="E1" s="28" t="s">
        <v>7</v>
      </c>
      <c r="F1" s="28" t="s">
        <v>57</v>
      </c>
    </row>
    <row r="2" spans="1:6">
      <c r="A2" s="4" t="s">
        <v>58</v>
      </c>
      <c r="B2" s="4" t="s">
        <v>215</v>
      </c>
      <c r="C2" s="4" t="s">
        <v>20</v>
      </c>
      <c r="D2" s="4">
        <v>600500</v>
      </c>
      <c r="E2" s="4" t="s">
        <v>220</v>
      </c>
      <c r="F2" s="4" t="s">
        <v>229</v>
      </c>
    </row>
    <row r="3" spans="1:6">
      <c r="A3" s="4" t="s">
        <v>58</v>
      </c>
      <c r="B3" s="4" t="s">
        <v>215</v>
      </c>
      <c r="C3" s="4" t="s">
        <v>22</v>
      </c>
      <c r="D3" s="4">
        <v>600500</v>
      </c>
      <c r="E3" s="4" t="s">
        <v>224</v>
      </c>
      <c r="F3" s="4" t="s">
        <v>229</v>
      </c>
    </row>
    <row r="4" spans="1:6">
      <c r="A4" s="4" t="s">
        <v>58</v>
      </c>
      <c r="B4" s="4" t="s">
        <v>216</v>
      </c>
      <c r="C4" s="4" t="s">
        <v>44</v>
      </c>
      <c r="D4" s="4">
        <v>603500</v>
      </c>
      <c r="E4" s="4" t="s">
        <v>225</v>
      </c>
      <c r="F4" s="4" t="s">
        <v>216</v>
      </c>
    </row>
    <row r="5" spans="1:6">
      <c r="A5" s="4" t="s">
        <v>58</v>
      </c>
      <c r="B5" s="4" t="s">
        <v>216</v>
      </c>
      <c r="C5" s="4" t="s">
        <v>24</v>
      </c>
      <c r="D5" s="4">
        <v>603500</v>
      </c>
      <c r="E5" s="4" t="s">
        <v>226</v>
      </c>
      <c r="F5" s="4" t="s">
        <v>216</v>
      </c>
    </row>
    <row r="6" spans="1:6">
      <c r="A6" s="4" t="s">
        <v>58</v>
      </c>
      <c r="B6" s="4" t="s">
        <v>214</v>
      </c>
      <c r="C6" s="4" t="s">
        <v>26</v>
      </c>
      <c r="D6" s="4">
        <v>604000</v>
      </c>
      <c r="E6" s="4" t="s">
        <v>221</v>
      </c>
      <c r="F6" s="4" t="s">
        <v>230</v>
      </c>
    </row>
    <row r="7" spans="1:6">
      <c r="A7" s="4" t="s">
        <v>58</v>
      </c>
      <c r="B7" s="4" t="s">
        <v>214</v>
      </c>
      <c r="C7" s="4" t="s">
        <v>28</v>
      </c>
      <c r="D7" s="4">
        <v>604000</v>
      </c>
      <c r="E7" s="4" t="s">
        <v>222</v>
      </c>
      <c r="F7" s="4" t="s">
        <v>230</v>
      </c>
    </row>
    <row r="8" spans="1:6">
      <c r="A8" s="4" t="s">
        <v>58</v>
      </c>
      <c r="B8" s="4" t="s">
        <v>217</v>
      </c>
      <c r="C8" s="4" t="s">
        <v>30</v>
      </c>
      <c r="D8" s="4">
        <v>605000</v>
      </c>
      <c r="E8" s="4" t="s">
        <v>227</v>
      </c>
      <c r="F8" s="4" t="s">
        <v>217</v>
      </c>
    </row>
    <row r="9" spans="1:6">
      <c r="A9" s="4" t="s">
        <v>58</v>
      </c>
      <c r="B9" s="4" t="s">
        <v>219</v>
      </c>
      <c r="C9" s="4" t="s">
        <v>32</v>
      </c>
      <c r="D9" s="4">
        <v>730000</v>
      </c>
      <c r="E9" s="4" t="s">
        <v>228</v>
      </c>
      <c r="F9" s="4" t="s">
        <v>231</v>
      </c>
    </row>
    <row r="10" spans="1:6">
      <c r="A10" s="5" t="s">
        <v>58</v>
      </c>
      <c r="B10" s="5" t="s">
        <v>219</v>
      </c>
      <c r="C10" s="5" t="s">
        <v>34</v>
      </c>
      <c r="D10" s="5">
        <v>731000</v>
      </c>
      <c r="E10" s="5" t="s">
        <v>223</v>
      </c>
      <c r="F10" s="5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3D35-42CB-41D6-A7BF-B554340800ED}">
  <dimension ref="A1:M29"/>
  <sheetViews>
    <sheetView workbookViewId="0">
      <selection sqref="A1:S29"/>
    </sheetView>
  </sheetViews>
  <sheetFormatPr defaultRowHeight="15"/>
  <cols>
    <col min="1" max="1" width="10.28515625" bestFit="1" customWidth="1"/>
    <col min="2" max="2" width="13.5703125" bestFit="1" customWidth="1"/>
    <col min="3" max="3" width="16.140625" bestFit="1" customWidth="1"/>
    <col min="4" max="4" width="13.85546875" bestFit="1" customWidth="1"/>
    <col min="5" max="5" width="49.7109375" bestFit="1" customWidth="1"/>
    <col min="6" max="6" width="10.28515625" bestFit="1" customWidth="1"/>
    <col min="7" max="7" width="18.5703125" bestFit="1" customWidth="1"/>
    <col min="8" max="8" width="16.5703125" bestFit="1" customWidth="1"/>
    <col min="9" max="9" width="8" bestFit="1" customWidth="1"/>
    <col min="10" max="10" width="6.140625" bestFit="1" customWidth="1"/>
    <col min="11" max="11" width="76.140625" bestFit="1" customWidth="1"/>
    <col min="12" max="12" width="6.28515625" bestFit="1" customWidth="1"/>
    <col min="13" max="13" width="8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52</v>
      </c>
      <c r="C2" s="2">
        <v>46207</v>
      </c>
      <c r="E2" t="s">
        <v>36</v>
      </c>
      <c r="F2">
        <v>383</v>
      </c>
      <c r="G2">
        <v>51920</v>
      </c>
      <c r="I2">
        <v>75</v>
      </c>
      <c r="J2">
        <v>0</v>
      </c>
      <c r="K2" t="s">
        <v>38</v>
      </c>
    </row>
    <row r="3" spans="1:13">
      <c r="A3" t="s">
        <v>13</v>
      </c>
      <c r="B3" t="s">
        <v>52</v>
      </c>
      <c r="C3" s="2">
        <v>46207</v>
      </c>
      <c r="E3" t="s">
        <v>36</v>
      </c>
      <c r="F3">
        <v>383</v>
      </c>
      <c r="G3">
        <v>60920</v>
      </c>
      <c r="I3">
        <v>372.39</v>
      </c>
      <c r="J3">
        <v>0</v>
      </c>
      <c r="K3" t="s">
        <v>39</v>
      </c>
    </row>
    <row r="4" spans="1:13">
      <c r="A4" t="s">
        <v>13</v>
      </c>
      <c r="B4" t="s">
        <v>52</v>
      </c>
      <c r="C4" s="2">
        <v>46207</v>
      </c>
      <c r="E4" t="s">
        <v>36</v>
      </c>
      <c r="F4">
        <v>383</v>
      </c>
      <c r="G4">
        <v>60940</v>
      </c>
      <c r="I4">
        <v>798.54</v>
      </c>
      <c r="J4">
        <v>0</v>
      </c>
      <c r="K4" t="s">
        <v>37</v>
      </c>
    </row>
    <row r="5" spans="1:13">
      <c r="A5" t="s">
        <v>13</v>
      </c>
      <c r="B5" t="s">
        <v>52</v>
      </c>
      <c r="C5" s="2">
        <v>46207</v>
      </c>
      <c r="E5" t="s">
        <v>36</v>
      </c>
      <c r="F5">
        <v>383</v>
      </c>
      <c r="G5">
        <v>60940</v>
      </c>
      <c r="I5">
        <v>108.3</v>
      </c>
      <c r="J5">
        <v>0</v>
      </c>
      <c r="K5" t="s">
        <v>40</v>
      </c>
    </row>
    <row r="6" spans="1:13">
      <c r="A6" t="s">
        <v>13</v>
      </c>
      <c r="B6" t="s">
        <v>52</v>
      </c>
      <c r="C6" s="2">
        <v>46207</v>
      </c>
      <c r="E6" t="s">
        <v>36</v>
      </c>
      <c r="F6">
        <v>383</v>
      </c>
      <c r="G6">
        <v>73920</v>
      </c>
      <c r="I6">
        <v>380.2</v>
      </c>
      <c r="J6">
        <v>0</v>
      </c>
      <c r="K6" t="s">
        <v>41</v>
      </c>
    </row>
    <row r="7" spans="1:13">
      <c r="A7" t="s">
        <v>13</v>
      </c>
      <c r="B7" t="s">
        <v>52</v>
      </c>
      <c r="C7" s="2">
        <v>46207</v>
      </c>
      <c r="E7" t="s">
        <v>36</v>
      </c>
      <c r="F7">
        <v>383</v>
      </c>
      <c r="G7">
        <v>73940</v>
      </c>
      <c r="I7">
        <v>329.96</v>
      </c>
      <c r="J7">
        <v>0</v>
      </c>
      <c r="K7" t="s">
        <v>37</v>
      </c>
    </row>
    <row r="8" spans="1:13">
      <c r="A8" t="s">
        <v>13</v>
      </c>
      <c r="B8" t="s">
        <v>52</v>
      </c>
      <c r="C8" s="2">
        <v>46207</v>
      </c>
      <c r="E8" t="s">
        <v>36</v>
      </c>
      <c r="F8">
        <v>383</v>
      </c>
      <c r="G8">
        <v>73990</v>
      </c>
      <c r="I8">
        <v>510.51</v>
      </c>
      <c r="J8">
        <v>0</v>
      </c>
      <c r="K8" t="s">
        <v>42</v>
      </c>
    </row>
    <row r="9" spans="1:13">
      <c r="A9" t="s">
        <v>13</v>
      </c>
      <c r="B9" t="s">
        <v>52</v>
      </c>
      <c r="C9" s="2">
        <v>46207</v>
      </c>
      <c r="E9" t="s">
        <v>36</v>
      </c>
      <c r="F9">
        <v>383</v>
      </c>
      <c r="G9" t="s">
        <v>22</v>
      </c>
      <c r="I9">
        <v>1759.32</v>
      </c>
      <c r="J9">
        <v>0</v>
      </c>
      <c r="K9" t="s">
        <v>43</v>
      </c>
    </row>
    <row r="10" spans="1:13">
      <c r="A10" t="s">
        <v>13</v>
      </c>
      <c r="B10" t="s">
        <v>52</v>
      </c>
      <c r="C10" s="2">
        <v>46207</v>
      </c>
      <c r="E10" t="s">
        <v>36</v>
      </c>
      <c r="F10">
        <v>383</v>
      </c>
      <c r="G10" t="s">
        <v>44</v>
      </c>
      <c r="I10">
        <v>127.9</v>
      </c>
      <c r="J10">
        <v>0</v>
      </c>
      <c r="K10" t="s">
        <v>45</v>
      </c>
    </row>
    <row r="11" spans="1:13">
      <c r="A11" t="s">
        <v>13</v>
      </c>
      <c r="B11" t="s">
        <v>52</v>
      </c>
      <c r="C11" s="2">
        <v>46207</v>
      </c>
      <c r="E11" t="s">
        <v>36</v>
      </c>
      <c r="F11">
        <v>383</v>
      </c>
      <c r="G11" t="s">
        <v>24</v>
      </c>
      <c r="I11">
        <v>1590.8</v>
      </c>
      <c r="J11">
        <v>0</v>
      </c>
      <c r="K11" t="s">
        <v>46</v>
      </c>
    </row>
    <row r="12" spans="1:13">
      <c r="A12" t="s">
        <v>13</v>
      </c>
      <c r="B12" t="s">
        <v>52</v>
      </c>
      <c r="C12" s="2">
        <v>46207</v>
      </c>
      <c r="E12" t="s">
        <v>36</v>
      </c>
      <c r="F12">
        <v>383</v>
      </c>
      <c r="G12" t="s">
        <v>26</v>
      </c>
      <c r="I12">
        <v>24.08</v>
      </c>
      <c r="J12">
        <v>0</v>
      </c>
      <c r="K12" t="s">
        <v>47</v>
      </c>
    </row>
    <row r="13" spans="1:13">
      <c r="A13" t="s">
        <v>13</v>
      </c>
      <c r="B13" t="s">
        <v>52</v>
      </c>
      <c r="C13" s="2">
        <v>46207</v>
      </c>
      <c r="E13" t="s">
        <v>36</v>
      </c>
      <c r="F13">
        <v>383</v>
      </c>
      <c r="G13" t="s">
        <v>28</v>
      </c>
      <c r="I13">
        <v>1054.8</v>
      </c>
      <c r="J13">
        <v>0</v>
      </c>
      <c r="K13" t="s">
        <v>48</v>
      </c>
    </row>
    <row r="14" spans="1:13">
      <c r="A14" t="s">
        <v>13</v>
      </c>
      <c r="B14" t="s">
        <v>52</v>
      </c>
      <c r="C14" s="2">
        <v>46207</v>
      </c>
      <c r="E14" t="s">
        <v>36</v>
      </c>
      <c r="F14">
        <v>383</v>
      </c>
      <c r="G14" t="s">
        <v>30</v>
      </c>
      <c r="I14">
        <v>570.82000000000005</v>
      </c>
      <c r="J14">
        <v>0</v>
      </c>
      <c r="K14" t="s">
        <v>49</v>
      </c>
    </row>
    <row r="15" spans="1:13">
      <c r="A15" t="s">
        <v>13</v>
      </c>
      <c r="B15" t="s">
        <v>52</v>
      </c>
      <c r="C15" s="2">
        <v>46207</v>
      </c>
      <c r="E15" t="s">
        <v>36</v>
      </c>
      <c r="F15">
        <v>383</v>
      </c>
      <c r="G15" t="s">
        <v>32</v>
      </c>
      <c r="I15">
        <v>2506.61</v>
      </c>
      <c r="J15">
        <v>0</v>
      </c>
      <c r="K15" t="s">
        <v>50</v>
      </c>
    </row>
    <row r="16" spans="1:13">
      <c r="A16" t="s">
        <v>13</v>
      </c>
      <c r="B16" t="s">
        <v>52</v>
      </c>
      <c r="C16" s="2">
        <v>46207</v>
      </c>
      <c r="E16" t="s">
        <v>36</v>
      </c>
      <c r="F16">
        <v>383</v>
      </c>
      <c r="G16" t="s">
        <v>34</v>
      </c>
      <c r="I16">
        <v>2025.54</v>
      </c>
      <c r="J16">
        <v>0</v>
      </c>
      <c r="K16" t="s">
        <v>51</v>
      </c>
    </row>
    <row r="17" spans="1:11">
      <c r="A17" t="s">
        <v>13</v>
      </c>
      <c r="B17" t="s">
        <v>14</v>
      </c>
      <c r="C17" s="2">
        <v>46221</v>
      </c>
      <c r="E17" t="s">
        <v>15</v>
      </c>
      <c r="F17">
        <v>383</v>
      </c>
      <c r="G17">
        <v>60920</v>
      </c>
      <c r="I17">
        <v>398.72</v>
      </c>
      <c r="J17">
        <v>0</v>
      </c>
      <c r="K17" t="s">
        <v>17</v>
      </c>
    </row>
    <row r="18" spans="1:11">
      <c r="A18" t="s">
        <v>13</v>
      </c>
      <c r="B18" t="s">
        <v>14</v>
      </c>
      <c r="C18" s="2">
        <v>46221</v>
      </c>
      <c r="E18" t="s">
        <v>15</v>
      </c>
      <c r="F18">
        <v>383</v>
      </c>
      <c r="G18">
        <v>60940</v>
      </c>
      <c r="I18">
        <v>798.54</v>
      </c>
      <c r="J18">
        <v>0</v>
      </c>
      <c r="K18" t="s">
        <v>16</v>
      </c>
    </row>
    <row r="19" spans="1:11">
      <c r="A19" t="s">
        <v>13</v>
      </c>
      <c r="B19" t="s">
        <v>14</v>
      </c>
      <c r="C19" s="2">
        <v>46221</v>
      </c>
      <c r="E19" t="s">
        <v>15</v>
      </c>
      <c r="F19">
        <v>383</v>
      </c>
      <c r="G19">
        <v>60940</v>
      </c>
      <c r="I19">
        <v>126.31</v>
      </c>
      <c r="J19">
        <v>0</v>
      </c>
      <c r="K19" t="s">
        <v>18</v>
      </c>
    </row>
    <row r="20" spans="1:11">
      <c r="A20" t="s">
        <v>13</v>
      </c>
      <c r="B20" t="s">
        <v>14</v>
      </c>
      <c r="C20" s="2">
        <v>46221</v>
      </c>
      <c r="E20" t="s">
        <v>15</v>
      </c>
      <c r="F20">
        <v>383</v>
      </c>
      <c r="G20">
        <v>73920</v>
      </c>
      <c r="I20">
        <v>384.97</v>
      </c>
      <c r="J20">
        <v>0</v>
      </c>
      <c r="K20" t="s">
        <v>19</v>
      </c>
    </row>
    <row r="21" spans="1:11">
      <c r="A21" t="s">
        <v>13</v>
      </c>
      <c r="B21" t="s">
        <v>14</v>
      </c>
      <c r="C21" s="2">
        <v>46221</v>
      </c>
      <c r="E21" t="s">
        <v>15</v>
      </c>
      <c r="F21">
        <v>383</v>
      </c>
      <c r="G21">
        <v>73940</v>
      </c>
      <c r="I21">
        <v>329.96</v>
      </c>
      <c r="J21">
        <v>0</v>
      </c>
      <c r="K21" t="s">
        <v>16</v>
      </c>
    </row>
    <row r="22" spans="1:11">
      <c r="A22" t="s">
        <v>13</v>
      </c>
      <c r="B22" t="s">
        <v>14</v>
      </c>
      <c r="C22" s="2">
        <v>46221</v>
      </c>
      <c r="E22" t="s">
        <v>15</v>
      </c>
      <c r="F22">
        <v>383</v>
      </c>
      <c r="G22" t="s">
        <v>20</v>
      </c>
      <c r="I22">
        <v>42.18</v>
      </c>
      <c r="J22">
        <v>0</v>
      </c>
      <c r="K22" t="s">
        <v>21</v>
      </c>
    </row>
    <row r="23" spans="1:11">
      <c r="A23" t="s">
        <v>13</v>
      </c>
      <c r="B23" t="s">
        <v>14</v>
      </c>
      <c r="C23" s="2">
        <v>46221</v>
      </c>
      <c r="E23" t="s">
        <v>15</v>
      </c>
      <c r="F23">
        <v>383</v>
      </c>
      <c r="G23" t="s">
        <v>22</v>
      </c>
      <c r="I23">
        <v>2024.58</v>
      </c>
      <c r="J23">
        <v>0</v>
      </c>
      <c r="K23" t="s">
        <v>23</v>
      </c>
    </row>
    <row r="24" spans="1:11">
      <c r="A24" t="s">
        <v>13</v>
      </c>
      <c r="B24" t="s">
        <v>14</v>
      </c>
      <c r="C24" s="2">
        <v>46221</v>
      </c>
      <c r="E24" t="s">
        <v>15</v>
      </c>
      <c r="F24">
        <v>383</v>
      </c>
      <c r="G24" t="s">
        <v>24</v>
      </c>
      <c r="I24">
        <v>1714.99</v>
      </c>
      <c r="J24">
        <v>0</v>
      </c>
      <c r="K24" t="s">
        <v>25</v>
      </c>
    </row>
    <row r="25" spans="1:11">
      <c r="A25" t="s">
        <v>13</v>
      </c>
      <c r="B25" t="s">
        <v>14</v>
      </c>
      <c r="C25" s="2">
        <v>46221</v>
      </c>
      <c r="E25" t="s">
        <v>15</v>
      </c>
      <c r="F25">
        <v>383</v>
      </c>
      <c r="G25" t="s">
        <v>26</v>
      </c>
      <c r="I25">
        <v>29.93</v>
      </c>
      <c r="J25">
        <v>0</v>
      </c>
      <c r="K25" t="s">
        <v>27</v>
      </c>
    </row>
    <row r="26" spans="1:11">
      <c r="A26" t="s">
        <v>13</v>
      </c>
      <c r="B26" t="s">
        <v>14</v>
      </c>
      <c r="C26" s="2">
        <v>46221</v>
      </c>
      <c r="E26" t="s">
        <v>15</v>
      </c>
      <c r="F26">
        <v>383</v>
      </c>
      <c r="G26" t="s">
        <v>28</v>
      </c>
      <c r="I26">
        <v>1199.7</v>
      </c>
      <c r="J26">
        <v>0</v>
      </c>
      <c r="K26" t="s">
        <v>29</v>
      </c>
    </row>
    <row r="27" spans="1:11">
      <c r="A27" t="s">
        <v>13</v>
      </c>
      <c r="B27" t="s">
        <v>14</v>
      </c>
      <c r="C27" s="2">
        <v>46221</v>
      </c>
      <c r="E27" t="s">
        <v>15</v>
      </c>
      <c r="F27">
        <v>383</v>
      </c>
      <c r="G27" t="s">
        <v>30</v>
      </c>
      <c r="I27">
        <v>460.46</v>
      </c>
      <c r="J27">
        <v>0</v>
      </c>
      <c r="K27" t="s">
        <v>31</v>
      </c>
    </row>
    <row r="28" spans="1:11">
      <c r="A28" t="s">
        <v>13</v>
      </c>
      <c r="B28" t="s">
        <v>14</v>
      </c>
      <c r="C28" s="2">
        <v>46221</v>
      </c>
      <c r="E28" t="s">
        <v>15</v>
      </c>
      <c r="F28">
        <v>383</v>
      </c>
      <c r="G28" t="s">
        <v>32</v>
      </c>
      <c r="I28">
        <v>2785.12</v>
      </c>
      <c r="J28">
        <v>0</v>
      </c>
      <c r="K28" t="s">
        <v>33</v>
      </c>
    </row>
    <row r="29" spans="1:11">
      <c r="A29" t="s">
        <v>13</v>
      </c>
      <c r="B29" t="s">
        <v>14</v>
      </c>
      <c r="C29" s="2">
        <v>46221</v>
      </c>
      <c r="E29" t="s">
        <v>15</v>
      </c>
      <c r="F29">
        <v>383</v>
      </c>
      <c r="G29" t="s">
        <v>34</v>
      </c>
      <c r="I29">
        <v>2320</v>
      </c>
      <c r="J29">
        <v>0</v>
      </c>
      <c r="K2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7D4A-741E-4EF6-AE36-2E21736319DA}">
  <dimension ref="A1:E151"/>
  <sheetViews>
    <sheetView topLeftCell="A47" workbookViewId="0">
      <selection sqref="A1:S29"/>
    </sheetView>
  </sheetViews>
  <sheetFormatPr defaultRowHeight="11.25"/>
  <cols>
    <col min="1" max="1" width="44.28515625" style="6" bestFit="1" customWidth="1"/>
    <col min="2" max="4" width="10.140625" style="6" bestFit="1" customWidth="1"/>
    <col min="5" max="5" width="10.7109375" style="6" bestFit="1" customWidth="1"/>
    <col min="6" max="16384" width="9.140625" style="6"/>
  </cols>
  <sheetData>
    <row r="1" spans="1:5" ht="15.75">
      <c r="A1" s="3" t="s">
        <v>59</v>
      </c>
      <c r="B1" s="3"/>
      <c r="C1" s="3"/>
      <c r="D1" s="3"/>
      <c r="E1" s="3"/>
    </row>
    <row r="2" spans="1:5" ht="15.75">
      <c r="A2" s="3" t="s">
        <v>60</v>
      </c>
      <c r="B2" s="3"/>
      <c r="C2" s="3"/>
      <c r="D2" s="3"/>
      <c r="E2" s="3"/>
    </row>
    <row r="3" spans="1:5" ht="18">
      <c r="A3" s="7" t="s">
        <v>61</v>
      </c>
      <c r="B3" s="7"/>
      <c r="C3" s="7"/>
      <c r="D3" s="7"/>
      <c r="E3" s="7"/>
    </row>
    <row r="4" spans="1:5" ht="18">
      <c r="A4" s="7" t="s">
        <v>62</v>
      </c>
      <c r="B4" s="7"/>
      <c r="C4" s="7"/>
      <c r="D4" s="7"/>
      <c r="E4" s="7"/>
    </row>
    <row r="5" spans="1:5" ht="18">
      <c r="A5" s="7" t="s">
        <v>63</v>
      </c>
      <c r="B5" s="7"/>
      <c r="C5" s="7"/>
      <c r="D5" s="7"/>
      <c r="E5" s="7"/>
    </row>
    <row r="6" spans="1:5" ht="18">
      <c r="A6" s="7" t="s">
        <v>63</v>
      </c>
      <c r="B6" s="7"/>
      <c r="C6" s="7"/>
      <c r="D6" s="7"/>
      <c r="E6" s="7"/>
    </row>
    <row r="7" spans="1:5">
      <c r="A7" s="8" t="s">
        <v>64</v>
      </c>
      <c r="B7" s="9" t="s">
        <v>65</v>
      </c>
      <c r="C7" s="9" t="s">
        <v>66</v>
      </c>
      <c r="D7" s="9" t="s">
        <v>67</v>
      </c>
      <c r="E7" s="9" t="s">
        <v>68</v>
      </c>
    </row>
    <row r="8" spans="1:5">
      <c r="A8" s="8" t="s">
        <v>69</v>
      </c>
      <c r="B8" s="9" t="s">
        <v>70</v>
      </c>
      <c r="C8" s="9" t="s">
        <v>70</v>
      </c>
      <c r="D8" s="9" t="s">
        <v>70</v>
      </c>
      <c r="E8" s="9" t="s">
        <v>70</v>
      </c>
    </row>
    <row r="9" spans="1:5">
      <c r="A9" s="10" t="s">
        <v>71</v>
      </c>
      <c r="B9" s="11"/>
      <c r="C9" s="11"/>
      <c r="D9" s="11"/>
      <c r="E9" s="11"/>
    </row>
    <row r="10" spans="1:5">
      <c r="A10" s="12" t="s">
        <v>72</v>
      </c>
      <c r="B10" s="11"/>
      <c r="C10" s="11"/>
      <c r="D10" s="11"/>
      <c r="E10" s="11"/>
    </row>
    <row r="11" spans="1:5">
      <c r="A11" s="13" t="s">
        <v>73</v>
      </c>
      <c r="B11" s="14">
        <v>68633.009999999995</v>
      </c>
      <c r="C11" s="14">
        <v>65264.74</v>
      </c>
      <c r="D11" s="14">
        <v>44570.85</v>
      </c>
      <c r="E11" s="14">
        <f t="shared" ref="E11:E18" si="0">SUM(B11:D11)</f>
        <v>178468.6</v>
      </c>
    </row>
    <row r="12" spans="1:5">
      <c r="A12" s="13" t="s">
        <v>74</v>
      </c>
      <c r="B12" s="14">
        <v>13358.72</v>
      </c>
      <c r="C12" s="14">
        <v>13887.9</v>
      </c>
      <c r="D12" s="14">
        <v>10817.78</v>
      </c>
      <c r="E12" s="14">
        <f t="shared" si="0"/>
        <v>38064.400000000001</v>
      </c>
    </row>
    <row r="13" spans="1:5">
      <c r="A13" s="13" t="s">
        <v>75</v>
      </c>
      <c r="B13" s="14">
        <v>17615.98</v>
      </c>
      <c r="C13" s="14">
        <v>33429.07</v>
      </c>
      <c r="D13" s="14">
        <v>21035.8</v>
      </c>
      <c r="E13" s="14">
        <f t="shared" si="0"/>
        <v>72080.850000000006</v>
      </c>
    </row>
    <row r="14" spans="1:5">
      <c r="A14" s="13" t="s">
        <v>76</v>
      </c>
      <c r="B14" s="14">
        <v>81085.64</v>
      </c>
      <c r="C14" s="14">
        <v>69062.210000000006</v>
      </c>
      <c r="D14" s="14">
        <v>57589.87</v>
      </c>
      <c r="E14" s="14">
        <f t="shared" si="0"/>
        <v>207737.72</v>
      </c>
    </row>
    <row r="15" spans="1:5">
      <c r="A15" s="13" t="s">
        <v>77</v>
      </c>
      <c r="B15" s="14">
        <v>32064.1</v>
      </c>
      <c r="C15" s="14">
        <v>10914</v>
      </c>
      <c r="D15" s="14">
        <v>0</v>
      </c>
      <c r="E15" s="14">
        <f t="shared" si="0"/>
        <v>42978.1</v>
      </c>
    </row>
    <row r="16" spans="1:5">
      <c r="A16" s="13" t="s">
        <v>78</v>
      </c>
      <c r="B16" s="14">
        <v>620.83000000000004</v>
      </c>
      <c r="C16" s="14">
        <v>1038.79</v>
      </c>
      <c r="D16" s="14">
        <v>1677.9</v>
      </c>
      <c r="E16" s="14">
        <f t="shared" si="0"/>
        <v>3337.52</v>
      </c>
    </row>
    <row r="17" spans="1:5">
      <c r="A17" s="13" t="s">
        <v>79</v>
      </c>
      <c r="B17" s="14">
        <v>1745.59</v>
      </c>
      <c r="C17" s="14">
        <v>1391.26</v>
      </c>
      <c r="D17" s="14">
        <v>900.95</v>
      </c>
      <c r="E17" s="14">
        <f t="shared" si="0"/>
        <v>4037.8</v>
      </c>
    </row>
    <row r="18" spans="1:5">
      <c r="A18" s="13" t="s">
        <v>80</v>
      </c>
      <c r="B18" s="14">
        <v>350</v>
      </c>
      <c r="C18" s="14">
        <v>3062</v>
      </c>
      <c r="D18" s="14">
        <v>1120.8</v>
      </c>
      <c r="E18" s="14">
        <f t="shared" si="0"/>
        <v>4532.8</v>
      </c>
    </row>
    <row r="19" spans="1:5">
      <c r="A19" s="15" t="s">
        <v>81</v>
      </c>
      <c r="B19" s="16">
        <f>SUM(B11:B18)</f>
        <v>215473.86999999997</v>
      </c>
      <c r="C19" s="16">
        <f>SUM(C11:C18)</f>
        <v>198049.97</v>
      </c>
      <c r="D19" s="16">
        <f>SUM(D11:D18)</f>
        <v>137713.94999999998</v>
      </c>
      <c r="E19" s="16">
        <f>SUM(E11:E18)</f>
        <v>551237.79</v>
      </c>
    </row>
    <row r="20" spans="1:5">
      <c r="A20" s="12" t="s">
        <v>82</v>
      </c>
      <c r="B20" s="11"/>
      <c r="C20" s="11"/>
      <c r="D20" s="11"/>
      <c r="E20" s="11"/>
    </row>
    <row r="21" spans="1:5">
      <c r="A21" s="13" t="s">
        <v>83</v>
      </c>
      <c r="B21" s="14">
        <v>39.64</v>
      </c>
      <c r="C21" s="14">
        <v>39.64</v>
      </c>
      <c r="D21" s="14">
        <v>39.64</v>
      </c>
      <c r="E21" s="14">
        <f>SUM(B21:D21)</f>
        <v>118.92</v>
      </c>
    </row>
    <row r="22" spans="1:5">
      <c r="A22" s="13" t="s">
        <v>84</v>
      </c>
      <c r="B22" s="14">
        <v>365</v>
      </c>
      <c r="C22" s="14">
        <v>365</v>
      </c>
      <c r="D22" s="14">
        <v>365</v>
      </c>
      <c r="E22" s="14">
        <f>SUM(B22:D22)</f>
        <v>1095</v>
      </c>
    </row>
    <row r="23" spans="1:5">
      <c r="A23" s="13" t="s">
        <v>85</v>
      </c>
      <c r="B23" s="14">
        <v>75</v>
      </c>
      <c r="C23" s="14">
        <v>75</v>
      </c>
      <c r="D23" s="14">
        <v>75</v>
      </c>
      <c r="E23" s="14">
        <f>SUM(B23:D23)</f>
        <v>225</v>
      </c>
    </row>
    <row r="24" spans="1:5">
      <c r="A24" s="13" t="s">
        <v>86</v>
      </c>
      <c r="B24" s="14">
        <v>828</v>
      </c>
      <c r="C24" s="14">
        <v>828</v>
      </c>
      <c r="D24" s="14">
        <v>828</v>
      </c>
      <c r="E24" s="14">
        <f>SUM(B24:D24)</f>
        <v>2484</v>
      </c>
    </row>
    <row r="25" spans="1:5">
      <c r="A25" s="13" t="s">
        <v>87</v>
      </c>
      <c r="B25" s="14">
        <v>1209.8900000000001</v>
      </c>
      <c r="C25" s="14">
        <v>1013.08</v>
      </c>
      <c r="D25" s="14">
        <v>829.37</v>
      </c>
      <c r="E25" s="14">
        <f>SUM(B25:D25)</f>
        <v>3052.34</v>
      </c>
    </row>
    <row r="26" spans="1:5">
      <c r="A26" s="15" t="s">
        <v>88</v>
      </c>
      <c r="B26" s="16">
        <f>SUM(B21:B25)</f>
        <v>2517.5299999999997</v>
      </c>
      <c r="C26" s="16">
        <f>SUM(C21:C25)</f>
        <v>2320.7199999999998</v>
      </c>
      <c r="D26" s="16">
        <f>SUM(D21:D25)</f>
        <v>2137.0099999999998</v>
      </c>
      <c r="E26" s="16">
        <f>SUM(E21:E25)</f>
        <v>6975.26</v>
      </c>
    </row>
    <row r="27" spans="1:5">
      <c r="A27" s="17" t="s">
        <v>89</v>
      </c>
      <c r="B27" s="18">
        <f>B19-B26</f>
        <v>212956.33999999997</v>
      </c>
      <c r="C27" s="18">
        <f>C19-C26</f>
        <v>195729.25</v>
      </c>
      <c r="D27" s="18">
        <f>D19-D26</f>
        <v>135576.93999999997</v>
      </c>
      <c r="E27" s="18">
        <f>E19-E26</f>
        <v>544262.53</v>
      </c>
    </row>
    <row r="28" spans="1:5">
      <c r="A28" s="12" t="s">
        <v>90</v>
      </c>
      <c r="B28" s="11"/>
      <c r="C28" s="11"/>
      <c r="D28" s="11"/>
      <c r="E28" s="11"/>
    </row>
    <row r="29" spans="1:5">
      <c r="A29" s="19" t="s">
        <v>91</v>
      </c>
      <c r="B29" s="11"/>
      <c r="C29" s="11"/>
      <c r="D29" s="11"/>
      <c r="E29" s="11"/>
    </row>
    <row r="30" spans="1:5" s="25" customFormat="1">
      <c r="A30" s="23" t="s">
        <v>92</v>
      </c>
      <c r="B30" s="24">
        <v>298.87</v>
      </c>
      <c r="C30" s="24">
        <v>80.099999999999994</v>
      </c>
      <c r="D30" s="24">
        <v>42.18</v>
      </c>
      <c r="E30" s="24">
        <f>SUM(B30:D30)</f>
        <v>421.15000000000003</v>
      </c>
    </row>
    <row r="31" spans="1:5" s="25" customFormat="1">
      <c r="A31" s="23" t="s">
        <v>93</v>
      </c>
      <c r="B31" s="24">
        <v>4165.12</v>
      </c>
      <c r="C31" s="24">
        <v>5079.8900000000003</v>
      </c>
      <c r="D31" s="24">
        <v>4117.03</v>
      </c>
      <c r="E31" s="24">
        <f>SUM(B31:D31)</f>
        <v>13362.04</v>
      </c>
    </row>
    <row r="32" spans="1:5" s="25" customFormat="1">
      <c r="A32" s="26" t="s">
        <v>94</v>
      </c>
      <c r="B32" s="27">
        <f>SUM(B30:B31)</f>
        <v>4463.99</v>
      </c>
      <c r="C32" s="27">
        <f>SUM(C30:C31)</f>
        <v>5159.9900000000007</v>
      </c>
      <c r="D32" s="27">
        <f>SUM(D30:D31)</f>
        <v>4159.21</v>
      </c>
      <c r="E32" s="27">
        <f>SUM(E30:E31)</f>
        <v>13783.19</v>
      </c>
    </row>
    <row r="33" spans="1:5">
      <c r="A33" s="19" t="s">
        <v>95</v>
      </c>
      <c r="B33" s="11"/>
      <c r="C33" s="11"/>
      <c r="D33" s="11"/>
      <c r="E33" s="11"/>
    </row>
    <row r="34" spans="1:5" s="25" customFormat="1">
      <c r="A34" s="23" t="s">
        <v>96</v>
      </c>
      <c r="B34" s="24">
        <v>104.54</v>
      </c>
      <c r="C34" s="24">
        <v>205.88</v>
      </c>
      <c r="D34" s="24">
        <v>127.9</v>
      </c>
      <c r="E34" s="24">
        <f>SUM(B34:D34)</f>
        <v>438.32000000000005</v>
      </c>
    </row>
    <row r="35" spans="1:5" s="25" customFormat="1">
      <c r="A35" s="23" t="s">
        <v>97</v>
      </c>
      <c r="B35" s="24">
        <v>4672.2</v>
      </c>
      <c r="C35" s="24">
        <v>2440.27</v>
      </c>
      <c r="D35" s="24">
        <v>3890.04</v>
      </c>
      <c r="E35" s="24">
        <f>SUM(B35:D35)</f>
        <v>11002.509999999998</v>
      </c>
    </row>
    <row r="36" spans="1:5" s="25" customFormat="1">
      <c r="A36" s="26" t="s">
        <v>98</v>
      </c>
      <c r="B36" s="27">
        <f>SUM(B34:B35)</f>
        <v>4776.74</v>
      </c>
      <c r="C36" s="27">
        <f>SUM(C34:C35)</f>
        <v>2646.15</v>
      </c>
      <c r="D36" s="27">
        <f>SUM(D34:D35)</f>
        <v>4017.94</v>
      </c>
      <c r="E36" s="27">
        <f>SUM(E34:E35)</f>
        <v>11440.829999999998</v>
      </c>
    </row>
    <row r="37" spans="1:5">
      <c r="A37" s="19" t="s">
        <v>99</v>
      </c>
      <c r="B37" s="11"/>
      <c r="C37" s="11"/>
      <c r="D37" s="11"/>
      <c r="E37" s="11"/>
    </row>
    <row r="38" spans="1:5" s="25" customFormat="1">
      <c r="A38" s="23" t="s">
        <v>100</v>
      </c>
      <c r="B38" s="24">
        <v>218.67</v>
      </c>
      <c r="C38" s="24">
        <v>87.7</v>
      </c>
      <c r="D38" s="24">
        <v>54.01</v>
      </c>
      <c r="E38" s="24">
        <f>SUM(B38:D38)</f>
        <v>360.38</v>
      </c>
    </row>
    <row r="39" spans="1:5" s="25" customFormat="1">
      <c r="A39" s="23" t="s">
        <v>101</v>
      </c>
      <c r="B39" s="24">
        <v>2593.85</v>
      </c>
      <c r="C39" s="24">
        <v>1595.72</v>
      </c>
      <c r="D39" s="24">
        <v>2885.11</v>
      </c>
      <c r="E39" s="24">
        <f>SUM(B39:D39)</f>
        <v>7074.68</v>
      </c>
    </row>
    <row r="40" spans="1:5" s="25" customFormat="1">
      <c r="A40" s="26" t="s">
        <v>102</v>
      </c>
      <c r="B40" s="27">
        <f>SUM(B38:B39)</f>
        <v>2812.52</v>
      </c>
      <c r="C40" s="27">
        <f>SUM(C38:C39)</f>
        <v>1683.42</v>
      </c>
      <c r="D40" s="27">
        <f>SUM(D38:D39)</f>
        <v>2939.1200000000003</v>
      </c>
      <c r="E40" s="27">
        <f>SUM(E38:E39)</f>
        <v>7435.06</v>
      </c>
    </row>
    <row r="41" spans="1:5">
      <c r="A41" s="19" t="s">
        <v>103</v>
      </c>
      <c r="B41" s="11"/>
      <c r="C41" s="11"/>
      <c r="D41" s="11"/>
      <c r="E41" s="11"/>
    </row>
    <row r="42" spans="1:5" s="25" customFormat="1">
      <c r="A42" s="23" t="s">
        <v>104</v>
      </c>
      <c r="B42" s="24">
        <v>0</v>
      </c>
      <c r="C42" s="24">
        <v>852.65</v>
      </c>
      <c r="D42" s="24">
        <v>1252.6500000000001</v>
      </c>
      <c r="E42" s="24">
        <f>SUM(B42:D42)</f>
        <v>2105.3000000000002</v>
      </c>
    </row>
    <row r="43" spans="1:5">
      <c r="A43" s="21" t="s">
        <v>105</v>
      </c>
      <c r="B43" s="16">
        <f>SUM(B42)</f>
        <v>0</v>
      </c>
      <c r="C43" s="16">
        <f>SUM(C42)</f>
        <v>852.65</v>
      </c>
      <c r="D43" s="16">
        <f>SUM(D42)</f>
        <v>1252.6500000000001</v>
      </c>
      <c r="E43" s="16">
        <f>SUM(E42)</f>
        <v>2105.3000000000002</v>
      </c>
    </row>
    <row r="44" spans="1:5">
      <c r="A44" s="13" t="s">
        <v>106</v>
      </c>
      <c r="B44" s="14">
        <v>999.71</v>
      </c>
      <c r="C44" s="14">
        <v>898.5</v>
      </c>
      <c r="D44" s="14">
        <v>849.59</v>
      </c>
      <c r="E44" s="14">
        <f t="shared" ref="E44:E66" si="1">SUM(B44:D44)</f>
        <v>2747.8</v>
      </c>
    </row>
    <row r="45" spans="1:5">
      <c r="A45" s="13" t="s">
        <v>107</v>
      </c>
      <c r="B45" s="14">
        <v>725.39</v>
      </c>
      <c r="C45" s="14">
        <v>2423.6</v>
      </c>
      <c r="D45" s="14">
        <v>2002.8</v>
      </c>
      <c r="E45" s="14">
        <f t="shared" si="1"/>
        <v>5151.79</v>
      </c>
    </row>
    <row r="46" spans="1:5">
      <c r="A46" s="13" t="s">
        <v>108</v>
      </c>
      <c r="B46" s="14">
        <v>210.49</v>
      </c>
      <c r="C46" s="14">
        <v>263.17</v>
      </c>
      <c r="D46" s="14">
        <v>162.88</v>
      </c>
      <c r="E46" s="14">
        <f t="shared" si="1"/>
        <v>636.54</v>
      </c>
    </row>
    <row r="47" spans="1:5">
      <c r="A47" s="13" t="s">
        <v>109</v>
      </c>
      <c r="B47" s="14">
        <v>448.05</v>
      </c>
      <c r="C47" s="14">
        <v>1406.74</v>
      </c>
      <c r="D47" s="14">
        <v>0</v>
      </c>
      <c r="E47" s="14">
        <f t="shared" si="1"/>
        <v>1854.79</v>
      </c>
    </row>
    <row r="48" spans="1:5">
      <c r="A48" s="13" t="s">
        <v>110</v>
      </c>
      <c r="B48" s="14">
        <v>1118.28</v>
      </c>
      <c r="C48" s="14">
        <v>1118.28</v>
      </c>
      <c r="D48" s="14">
        <v>1118.28</v>
      </c>
      <c r="E48" s="14">
        <f t="shared" si="1"/>
        <v>3354.84</v>
      </c>
    </row>
    <row r="49" spans="1:5">
      <c r="A49" s="13" t="s">
        <v>111</v>
      </c>
      <c r="B49" s="14">
        <v>16602.7</v>
      </c>
      <c r="C49" s="14">
        <v>15947.29</v>
      </c>
      <c r="D49" s="14">
        <v>17656.78</v>
      </c>
      <c r="E49" s="14">
        <f t="shared" si="1"/>
        <v>50206.770000000004</v>
      </c>
    </row>
    <row r="50" spans="1:5">
      <c r="A50" s="13" t="s">
        <v>112</v>
      </c>
      <c r="B50" s="14">
        <v>5878.66</v>
      </c>
      <c r="C50" s="14">
        <v>6834.87</v>
      </c>
      <c r="D50" s="14">
        <v>5551.58</v>
      </c>
      <c r="E50" s="14">
        <f t="shared" si="1"/>
        <v>18265.11</v>
      </c>
    </row>
    <row r="51" spans="1:5">
      <c r="A51" s="13" t="s">
        <v>113</v>
      </c>
      <c r="B51" s="14">
        <v>387.52</v>
      </c>
      <c r="C51" s="14">
        <v>387.52</v>
      </c>
      <c r="D51" s="14">
        <v>387.52</v>
      </c>
      <c r="E51" s="14">
        <f t="shared" si="1"/>
        <v>1162.56</v>
      </c>
    </row>
    <row r="52" spans="1:5">
      <c r="A52" s="13" t="s">
        <v>114</v>
      </c>
      <c r="B52" s="14">
        <v>4219.29</v>
      </c>
      <c r="C52" s="14">
        <v>3064.05</v>
      </c>
      <c r="D52" s="14">
        <v>3930.67</v>
      </c>
      <c r="E52" s="14">
        <f t="shared" si="1"/>
        <v>11214.01</v>
      </c>
    </row>
    <row r="53" spans="1:5">
      <c r="A53" s="13" t="s">
        <v>115</v>
      </c>
      <c r="B53" s="14">
        <v>8711.4</v>
      </c>
      <c r="C53" s="14">
        <v>8437.14</v>
      </c>
      <c r="D53" s="14">
        <v>5754.86</v>
      </c>
      <c r="E53" s="14">
        <f t="shared" si="1"/>
        <v>22903.4</v>
      </c>
    </row>
    <row r="54" spans="1:5">
      <c r="A54" s="13" t="s">
        <v>116</v>
      </c>
      <c r="B54" s="14">
        <v>0</v>
      </c>
      <c r="C54" s="14">
        <v>0</v>
      </c>
      <c r="D54" s="14">
        <v>27.5</v>
      </c>
      <c r="E54" s="14">
        <f t="shared" si="1"/>
        <v>27.5</v>
      </c>
    </row>
    <row r="55" spans="1:5">
      <c r="A55" s="13" t="s">
        <v>117</v>
      </c>
      <c r="B55" s="14">
        <v>-524.12</v>
      </c>
      <c r="C55" s="14">
        <v>0</v>
      </c>
      <c r="D55" s="14">
        <v>0</v>
      </c>
      <c r="E55" s="14">
        <f t="shared" si="1"/>
        <v>-524.12</v>
      </c>
    </row>
    <row r="56" spans="1:5">
      <c r="A56" s="13" t="s">
        <v>118</v>
      </c>
      <c r="B56" s="14">
        <v>445.57</v>
      </c>
      <c r="C56" s="14">
        <v>418.16</v>
      </c>
      <c r="D56" s="14">
        <v>632.82000000000005</v>
      </c>
      <c r="E56" s="14">
        <f t="shared" si="1"/>
        <v>1496.5500000000002</v>
      </c>
    </row>
    <row r="57" spans="1:5">
      <c r="A57" s="13" t="s">
        <v>119</v>
      </c>
      <c r="B57" s="14">
        <v>222.31</v>
      </c>
      <c r="C57" s="14">
        <v>416.77</v>
      </c>
      <c r="D57" s="14">
        <v>816.68</v>
      </c>
      <c r="E57" s="14">
        <f t="shared" si="1"/>
        <v>1455.7599999999998</v>
      </c>
    </row>
    <row r="58" spans="1:5">
      <c r="A58" s="13" t="s">
        <v>120</v>
      </c>
      <c r="B58" s="14">
        <v>790.99</v>
      </c>
      <c r="C58" s="14">
        <v>642.97</v>
      </c>
      <c r="D58" s="14">
        <v>655.52</v>
      </c>
      <c r="E58" s="14">
        <f t="shared" si="1"/>
        <v>2089.48</v>
      </c>
    </row>
    <row r="59" spans="1:5">
      <c r="A59" s="13" t="s">
        <v>121</v>
      </c>
      <c r="B59" s="14">
        <v>343.01</v>
      </c>
      <c r="C59" s="14">
        <v>858.76</v>
      </c>
      <c r="D59" s="14">
        <v>1269.78</v>
      </c>
      <c r="E59" s="14">
        <f t="shared" si="1"/>
        <v>2471.5500000000002</v>
      </c>
    </row>
    <row r="60" spans="1:5">
      <c r="A60" s="13" t="s">
        <v>122</v>
      </c>
      <c r="B60" s="14">
        <v>49.8</v>
      </c>
      <c r="C60" s="14">
        <v>-324</v>
      </c>
      <c r="D60" s="14">
        <v>73.64</v>
      </c>
      <c r="E60" s="14">
        <f t="shared" si="1"/>
        <v>-200.56</v>
      </c>
    </row>
    <row r="61" spans="1:5">
      <c r="A61" s="13" t="s">
        <v>123</v>
      </c>
      <c r="B61" s="14">
        <v>4397.51</v>
      </c>
      <c r="C61" s="14">
        <v>4533.03</v>
      </c>
      <c r="D61" s="14">
        <v>3549.89</v>
      </c>
      <c r="E61" s="14">
        <f t="shared" si="1"/>
        <v>12480.43</v>
      </c>
    </row>
    <row r="62" spans="1:5">
      <c r="A62" s="13" t="s">
        <v>124</v>
      </c>
      <c r="B62" s="14">
        <v>0</v>
      </c>
      <c r="C62" s="14">
        <v>0</v>
      </c>
      <c r="D62" s="14">
        <v>207.84</v>
      </c>
      <c r="E62" s="14">
        <f t="shared" si="1"/>
        <v>207.84</v>
      </c>
    </row>
    <row r="63" spans="1:5">
      <c r="A63" s="13" t="s">
        <v>125</v>
      </c>
      <c r="B63" s="14">
        <v>965</v>
      </c>
      <c r="C63" s="14">
        <v>965</v>
      </c>
      <c r="D63" s="14">
        <v>965</v>
      </c>
      <c r="E63" s="14">
        <f t="shared" si="1"/>
        <v>2895</v>
      </c>
    </row>
    <row r="64" spans="1:5">
      <c r="A64" s="13" t="s">
        <v>126</v>
      </c>
      <c r="B64" s="14">
        <v>75</v>
      </c>
      <c r="C64" s="14">
        <v>75</v>
      </c>
      <c r="D64" s="14">
        <v>75</v>
      </c>
      <c r="E64" s="14">
        <f t="shared" si="1"/>
        <v>225</v>
      </c>
    </row>
    <row r="65" spans="1:5">
      <c r="A65" s="13" t="s">
        <v>127</v>
      </c>
      <c r="B65" s="14">
        <v>702.4</v>
      </c>
      <c r="C65" s="14">
        <v>260.19</v>
      </c>
      <c r="D65" s="14">
        <v>852.62</v>
      </c>
      <c r="E65" s="14">
        <f t="shared" si="1"/>
        <v>1815.21</v>
      </c>
    </row>
    <row r="66" spans="1:5">
      <c r="A66" s="13" t="s">
        <v>128</v>
      </c>
      <c r="B66" s="14">
        <v>1011.16</v>
      </c>
      <c r="C66" s="14">
        <v>1011.16</v>
      </c>
      <c r="D66" s="14">
        <v>1011.16</v>
      </c>
      <c r="E66" s="14">
        <f t="shared" si="1"/>
        <v>3033.48</v>
      </c>
    </row>
    <row r="67" spans="1:5">
      <c r="A67" s="19" t="s">
        <v>129</v>
      </c>
      <c r="B67" s="11"/>
      <c r="C67" s="11"/>
      <c r="D67" s="11"/>
      <c r="E67" s="11"/>
    </row>
    <row r="68" spans="1:5">
      <c r="A68" s="20" t="s">
        <v>130</v>
      </c>
      <c r="B68" s="14">
        <v>6167.07</v>
      </c>
      <c r="C68" s="14">
        <v>5689.58</v>
      </c>
      <c r="D68" s="14">
        <v>5888.54</v>
      </c>
      <c r="E68" s="14">
        <f>SUM(B68:D68)</f>
        <v>17745.189999999999</v>
      </c>
    </row>
    <row r="69" spans="1:5">
      <c r="A69" s="21" t="s">
        <v>131</v>
      </c>
      <c r="B69" s="16">
        <f>SUM(B68)</f>
        <v>6167.07</v>
      </c>
      <c r="C69" s="16">
        <f>SUM(C68)</f>
        <v>5689.58</v>
      </c>
      <c r="D69" s="16">
        <f>SUM(D68)</f>
        <v>5888.54</v>
      </c>
      <c r="E69" s="16">
        <f>SUM(E68)</f>
        <v>17745.189999999999</v>
      </c>
    </row>
    <row r="70" spans="1:5">
      <c r="A70" s="19" t="s">
        <v>132</v>
      </c>
      <c r="B70" s="11"/>
      <c r="C70" s="11"/>
      <c r="D70" s="11"/>
      <c r="E70" s="11"/>
    </row>
    <row r="71" spans="1:5">
      <c r="A71" s="20" t="s">
        <v>133</v>
      </c>
      <c r="B71" s="14">
        <v>2708.77</v>
      </c>
      <c r="C71" s="14">
        <v>2326.37</v>
      </c>
      <c r="D71" s="14">
        <v>2675.64</v>
      </c>
      <c r="E71" s="14">
        <f>SUM(B71:D71)</f>
        <v>7710.7799999999988</v>
      </c>
    </row>
    <row r="72" spans="1:5">
      <c r="A72" s="21" t="s">
        <v>134</v>
      </c>
      <c r="B72" s="16">
        <f>SUM(B71)</f>
        <v>2708.77</v>
      </c>
      <c r="C72" s="16">
        <f>SUM(C71)</f>
        <v>2326.37</v>
      </c>
      <c r="D72" s="16">
        <f>SUM(D71)</f>
        <v>2675.64</v>
      </c>
      <c r="E72" s="16">
        <f>SUM(E71)</f>
        <v>7710.7799999999988</v>
      </c>
    </row>
    <row r="73" spans="1:5">
      <c r="A73" s="13" t="s">
        <v>135</v>
      </c>
      <c r="B73" s="14">
        <v>576.97</v>
      </c>
      <c r="C73" s="14">
        <v>537.98</v>
      </c>
      <c r="D73" s="14">
        <v>583.41999999999996</v>
      </c>
      <c r="E73" s="14">
        <f t="shared" ref="E73:E80" si="2">SUM(B73:D73)</f>
        <v>1698.37</v>
      </c>
    </row>
    <row r="74" spans="1:5">
      <c r="A74" s="13" t="s">
        <v>136</v>
      </c>
      <c r="B74" s="14">
        <v>211.61</v>
      </c>
      <c r="C74" s="14">
        <v>893.49</v>
      </c>
      <c r="D74" s="14">
        <v>731.18</v>
      </c>
      <c r="E74" s="14">
        <f t="shared" si="2"/>
        <v>1836.2799999999997</v>
      </c>
    </row>
    <row r="75" spans="1:5">
      <c r="A75" s="13" t="s">
        <v>137</v>
      </c>
      <c r="B75" s="14">
        <v>94.68</v>
      </c>
      <c r="C75" s="14">
        <v>134.65</v>
      </c>
      <c r="D75" s="14">
        <v>89.61</v>
      </c>
      <c r="E75" s="14">
        <f t="shared" si="2"/>
        <v>318.94</v>
      </c>
    </row>
    <row r="76" spans="1:5">
      <c r="A76" s="13" t="s">
        <v>138</v>
      </c>
      <c r="B76" s="14">
        <v>0</v>
      </c>
      <c r="C76" s="14">
        <v>501.59</v>
      </c>
      <c r="D76" s="14">
        <v>510.51</v>
      </c>
      <c r="E76" s="14">
        <f t="shared" si="2"/>
        <v>1012.0999999999999</v>
      </c>
    </row>
    <row r="77" spans="1:5">
      <c r="A77" s="13" t="s">
        <v>139</v>
      </c>
      <c r="B77" s="14">
        <v>166.5</v>
      </c>
      <c r="C77" s="14">
        <v>410.2</v>
      </c>
      <c r="D77" s="14">
        <v>1139.8499999999999</v>
      </c>
      <c r="E77" s="14">
        <f t="shared" si="2"/>
        <v>1716.55</v>
      </c>
    </row>
    <row r="78" spans="1:5">
      <c r="A78" s="13" t="s">
        <v>140</v>
      </c>
      <c r="B78" s="14">
        <v>500</v>
      </c>
      <c r="C78" s="14">
        <v>500</v>
      </c>
      <c r="D78" s="14">
        <v>500</v>
      </c>
      <c r="E78" s="14">
        <f t="shared" si="2"/>
        <v>1500</v>
      </c>
    </row>
    <row r="79" spans="1:5">
      <c r="A79" s="13" t="s">
        <v>141</v>
      </c>
      <c r="B79" s="14">
        <v>162</v>
      </c>
      <c r="C79" s="14">
        <v>4</v>
      </c>
      <c r="D79" s="14">
        <v>0</v>
      </c>
      <c r="E79" s="14">
        <f t="shared" si="2"/>
        <v>166</v>
      </c>
    </row>
    <row r="80" spans="1:5">
      <c r="A80" s="13" t="s">
        <v>142</v>
      </c>
      <c r="B80" s="14">
        <v>-149</v>
      </c>
      <c r="C80" s="14">
        <v>195.44</v>
      </c>
      <c r="D80" s="14">
        <v>607.53</v>
      </c>
      <c r="E80" s="14">
        <f t="shared" si="2"/>
        <v>653.97</v>
      </c>
    </row>
    <row r="81" spans="1:5">
      <c r="A81" s="19" t="s">
        <v>143</v>
      </c>
      <c r="B81" s="11"/>
      <c r="C81" s="11"/>
      <c r="D81" s="11"/>
      <c r="E81" s="11"/>
    </row>
    <row r="82" spans="1:5">
      <c r="A82" s="20" t="s">
        <v>144</v>
      </c>
      <c r="B82" s="14">
        <v>5047.7299999999996</v>
      </c>
      <c r="C82" s="14">
        <v>6843.1</v>
      </c>
      <c r="D82" s="14">
        <v>3807.44</v>
      </c>
      <c r="E82" s="14">
        <f>SUM(B82:D82)</f>
        <v>15698.27</v>
      </c>
    </row>
    <row r="83" spans="1:5">
      <c r="A83" s="21" t="s">
        <v>145</v>
      </c>
      <c r="B83" s="16">
        <f>SUM(B82)</f>
        <v>5047.7299999999996</v>
      </c>
      <c r="C83" s="16">
        <f>SUM(C82)</f>
        <v>6843.1</v>
      </c>
      <c r="D83" s="16">
        <f>SUM(D82)</f>
        <v>3807.44</v>
      </c>
      <c r="E83" s="16">
        <f>SUM(E82)</f>
        <v>15698.27</v>
      </c>
    </row>
    <row r="84" spans="1:5">
      <c r="A84" s="13" t="s">
        <v>146</v>
      </c>
      <c r="B84" s="14">
        <v>0</v>
      </c>
      <c r="C84" s="14">
        <v>0</v>
      </c>
      <c r="D84" s="14">
        <v>24.99</v>
      </c>
      <c r="E84" s="14">
        <f t="shared" ref="E84:E97" si="3">SUM(B84:D84)</f>
        <v>24.99</v>
      </c>
    </row>
    <row r="85" spans="1:5">
      <c r="A85" s="13" t="s">
        <v>147</v>
      </c>
      <c r="B85" s="14">
        <v>298.5</v>
      </c>
      <c r="C85" s="14">
        <v>398.5</v>
      </c>
      <c r="D85" s="14">
        <v>0</v>
      </c>
      <c r="E85" s="14">
        <f t="shared" si="3"/>
        <v>697</v>
      </c>
    </row>
    <row r="86" spans="1:5">
      <c r="A86" s="13" t="s">
        <v>148</v>
      </c>
      <c r="B86" s="14">
        <v>0</v>
      </c>
      <c r="C86" s="14">
        <v>183.98</v>
      </c>
      <c r="D86" s="14">
        <v>0</v>
      </c>
      <c r="E86" s="14">
        <f t="shared" si="3"/>
        <v>183.98</v>
      </c>
    </row>
    <row r="87" spans="1:5">
      <c r="A87" s="13" t="s">
        <v>149</v>
      </c>
      <c r="B87" s="14">
        <v>16.32</v>
      </c>
      <c r="C87" s="14">
        <v>283.07</v>
      </c>
      <c r="D87" s="14">
        <v>147.43</v>
      </c>
      <c r="E87" s="14">
        <f t="shared" si="3"/>
        <v>446.82</v>
      </c>
    </row>
    <row r="88" spans="1:5">
      <c r="A88" s="13" t="s">
        <v>150</v>
      </c>
      <c r="B88" s="14">
        <v>0</v>
      </c>
      <c r="C88" s="14">
        <v>0</v>
      </c>
      <c r="D88" s="14">
        <v>358.69</v>
      </c>
      <c r="E88" s="14">
        <f t="shared" si="3"/>
        <v>358.69</v>
      </c>
    </row>
    <row r="89" spans="1:5">
      <c r="A89" s="13" t="s">
        <v>151</v>
      </c>
      <c r="B89" s="14">
        <v>59.4</v>
      </c>
      <c r="C89" s="14">
        <v>166.48</v>
      </c>
      <c r="D89" s="14">
        <v>231.94</v>
      </c>
      <c r="E89" s="14">
        <f t="shared" si="3"/>
        <v>457.82</v>
      </c>
    </row>
    <row r="90" spans="1:5">
      <c r="A90" s="13" t="s">
        <v>152</v>
      </c>
      <c r="B90" s="14">
        <v>224</v>
      </c>
      <c r="C90" s="14">
        <v>256</v>
      </c>
      <c r="D90" s="14">
        <v>192</v>
      </c>
      <c r="E90" s="14">
        <f t="shared" si="3"/>
        <v>672</v>
      </c>
    </row>
    <row r="91" spans="1:5">
      <c r="A91" s="13" t="s">
        <v>153</v>
      </c>
      <c r="B91" s="14">
        <v>27.4</v>
      </c>
      <c r="C91" s="14">
        <v>145.03</v>
      </c>
      <c r="D91" s="14">
        <v>26.35</v>
      </c>
      <c r="E91" s="14">
        <f t="shared" si="3"/>
        <v>198.78</v>
      </c>
    </row>
    <row r="92" spans="1:5">
      <c r="A92" s="13" t="s">
        <v>154</v>
      </c>
      <c r="B92" s="14">
        <v>25</v>
      </c>
      <c r="C92" s="14">
        <v>22</v>
      </c>
      <c r="D92" s="14">
        <v>41</v>
      </c>
      <c r="E92" s="14">
        <f t="shared" si="3"/>
        <v>88</v>
      </c>
    </row>
    <row r="93" spans="1:5">
      <c r="A93" s="13" t="s">
        <v>155</v>
      </c>
      <c r="B93" s="14">
        <v>0</v>
      </c>
      <c r="C93" s="14">
        <v>24.99</v>
      </c>
      <c r="D93" s="14">
        <v>0</v>
      </c>
      <c r="E93" s="14">
        <f t="shared" si="3"/>
        <v>24.99</v>
      </c>
    </row>
    <row r="94" spans="1:5">
      <c r="A94" s="13" t="s">
        <v>156</v>
      </c>
      <c r="B94" s="14">
        <v>-447.61</v>
      </c>
      <c r="C94" s="14">
        <v>-465.59</v>
      </c>
      <c r="D94" s="14">
        <v>-413.88</v>
      </c>
      <c r="E94" s="14">
        <f t="shared" si="3"/>
        <v>-1327.08</v>
      </c>
    </row>
    <row r="95" spans="1:5">
      <c r="A95" s="13" t="s">
        <v>157</v>
      </c>
      <c r="B95" s="14">
        <v>350</v>
      </c>
      <c r="C95" s="14">
        <v>0</v>
      </c>
      <c r="D95" s="14">
        <v>0</v>
      </c>
      <c r="E95" s="14">
        <f t="shared" si="3"/>
        <v>350</v>
      </c>
    </row>
    <row r="96" spans="1:5">
      <c r="A96" s="13" t="s">
        <v>158</v>
      </c>
      <c r="B96" s="14">
        <v>3308.65</v>
      </c>
      <c r="C96" s="14">
        <v>958.23</v>
      </c>
      <c r="D96" s="14">
        <v>-249.01</v>
      </c>
      <c r="E96" s="14">
        <f t="shared" si="3"/>
        <v>4017.87</v>
      </c>
    </row>
    <row r="97" spans="1:5">
      <c r="A97" s="13" t="s">
        <v>159</v>
      </c>
      <c r="B97" s="14">
        <v>75</v>
      </c>
      <c r="C97" s="14">
        <v>75</v>
      </c>
      <c r="D97" s="14">
        <v>75</v>
      </c>
      <c r="E97" s="14">
        <f t="shared" si="3"/>
        <v>225</v>
      </c>
    </row>
    <row r="98" spans="1:5">
      <c r="A98" s="19" t="s">
        <v>160</v>
      </c>
      <c r="B98" s="11"/>
      <c r="C98" s="11"/>
      <c r="D98" s="11"/>
      <c r="E98" s="11"/>
    </row>
    <row r="99" spans="1:5">
      <c r="A99" s="20" t="s">
        <v>161</v>
      </c>
      <c r="B99" s="14">
        <v>1750</v>
      </c>
      <c r="C99" s="14">
        <v>1750</v>
      </c>
      <c r="D99" s="14">
        <v>1750</v>
      </c>
      <c r="E99" s="14">
        <f>SUM(B99:D99)</f>
        <v>5250</v>
      </c>
    </row>
    <row r="100" spans="1:5">
      <c r="A100" s="21" t="s">
        <v>162</v>
      </c>
      <c r="B100" s="16">
        <f>SUM(B99)</f>
        <v>1750</v>
      </c>
      <c r="C100" s="16">
        <f>SUM(C99)</f>
        <v>1750</v>
      </c>
      <c r="D100" s="16">
        <f>SUM(D99)</f>
        <v>1750</v>
      </c>
      <c r="E100" s="16">
        <f>SUM(E99)</f>
        <v>5250</v>
      </c>
    </row>
    <row r="101" spans="1:5">
      <c r="A101" s="13" t="s">
        <v>163</v>
      </c>
      <c r="B101" s="14">
        <v>140</v>
      </c>
      <c r="C101" s="14">
        <v>140</v>
      </c>
      <c r="D101" s="14">
        <v>140</v>
      </c>
      <c r="E101" s="14">
        <f t="shared" ref="E101:E108" si="4">SUM(B101:D101)</f>
        <v>420</v>
      </c>
    </row>
    <row r="102" spans="1:5">
      <c r="A102" s="13" t="s">
        <v>164</v>
      </c>
      <c r="B102" s="14">
        <v>70</v>
      </c>
      <c r="C102" s="14">
        <v>70</v>
      </c>
      <c r="D102" s="14">
        <v>70</v>
      </c>
      <c r="E102" s="14">
        <f t="shared" si="4"/>
        <v>210</v>
      </c>
    </row>
    <row r="103" spans="1:5">
      <c r="A103" s="13" t="s">
        <v>165</v>
      </c>
      <c r="B103" s="14">
        <v>27.71</v>
      </c>
      <c r="C103" s="14">
        <v>38.21</v>
      </c>
      <c r="D103" s="14">
        <v>27.56</v>
      </c>
      <c r="E103" s="14">
        <f t="shared" si="4"/>
        <v>93.48</v>
      </c>
    </row>
    <row r="104" spans="1:5">
      <c r="A104" s="13" t="s">
        <v>166</v>
      </c>
      <c r="B104" s="14">
        <v>302.43</v>
      </c>
      <c r="C104" s="14">
        <v>277.48</v>
      </c>
      <c r="D104" s="14">
        <v>311.51</v>
      </c>
      <c r="E104" s="14">
        <f t="shared" si="4"/>
        <v>891.42000000000007</v>
      </c>
    </row>
    <row r="105" spans="1:5">
      <c r="A105" s="13" t="s">
        <v>167</v>
      </c>
      <c r="B105" s="14">
        <v>317.99</v>
      </c>
      <c r="C105" s="14">
        <v>-208.56</v>
      </c>
      <c r="D105" s="14">
        <v>-1085.1600000000001</v>
      </c>
      <c r="E105" s="14">
        <f t="shared" si="4"/>
        <v>-975.73</v>
      </c>
    </row>
    <row r="106" spans="1:5">
      <c r="A106" s="13" t="s">
        <v>168</v>
      </c>
      <c r="B106" s="14">
        <v>5374.48</v>
      </c>
      <c r="C106" s="14">
        <v>4797.6400000000003</v>
      </c>
      <c r="D106" s="14">
        <v>3277.48</v>
      </c>
      <c r="E106" s="14">
        <f t="shared" si="4"/>
        <v>13449.599999999999</v>
      </c>
    </row>
    <row r="107" spans="1:5">
      <c r="A107" s="13" t="s">
        <v>169</v>
      </c>
      <c r="B107" s="14">
        <v>2110.17</v>
      </c>
      <c r="C107" s="14">
        <v>1864.1</v>
      </c>
      <c r="D107" s="14">
        <v>2480.71</v>
      </c>
      <c r="E107" s="14">
        <f t="shared" si="4"/>
        <v>6454.98</v>
      </c>
    </row>
    <row r="108" spans="1:5">
      <c r="A108" s="13" t="s">
        <v>170</v>
      </c>
      <c r="B108" s="14">
        <v>0</v>
      </c>
      <c r="C108" s="14">
        <v>36.29</v>
      </c>
      <c r="D108" s="14">
        <v>0</v>
      </c>
      <c r="E108" s="14">
        <f t="shared" si="4"/>
        <v>36.29</v>
      </c>
    </row>
    <row r="109" spans="1:5">
      <c r="A109" s="19" t="s">
        <v>171</v>
      </c>
      <c r="B109" s="11"/>
      <c r="C109" s="11"/>
      <c r="D109" s="11"/>
      <c r="E109" s="11"/>
    </row>
    <row r="110" spans="1:5">
      <c r="A110" s="20" t="s">
        <v>172</v>
      </c>
      <c r="B110" s="14">
        <v>2000</v>
      </c>
      <c r="C110" s="14">
        <v>2000</v>
      </c>
      <c r="D110" s="14">
        <v>2000</v>
      </c>
      <c r="E110" s="14">
        <f>SUM(B110:D110)</f>
        <v>6000</v>
      </c>
    </row>
    <row r="111" spans="1:5">
      <c r="A111" s="21" t="s">
        <v>173</v>
      </c>
      <c r="B111" s="16">
        <f>SUM(B110)</f>
        <v>2000</v>
      </c>
      <c r="C111" s="16">
        <f>SUM(C110)</f>
        <v>2000</v>
      </c>
      <c r="D111" s="16">
        <f>SUM(D110)</f>
        <v>2000</v>
      </c>
      <c r="E111" s="16">
        <f>SUM(E110)</f>
        <v>6000</v>
      </c>
    </row>
    <row r="112" spans="1:5">
      <c r="A112" s="13" t="s">
        <v>174</v>
      </c>
      <c r="B112" s="14">
        <v>153.08000000000001</v>
      </c>
      <c r="C112" s="14">
        <v>153.08000000000001</v>
      </c>
      <c r="D112" s="14">
        <v>153.08000000000001</v>
      </c>
      <c r="E112" s="14">
        <f t="shared" ref="E112:E136" si="5">SUM(B112:D112)</f>
        <v>459.24</v>
      </c>
    </row>
    <row r="113" spans="1:5">
      <c r="A113" s="13" t="s">
        <v>175</v>
      </c>
      <c r="B113" s="14">
        <v>18.07</v>
      </c>
      <c r="C113" s="14">
        <v>18.07</v>
      </c>
      <c r="D113" s="14">
        <v>18.07</v>
      </c>
      <c r="E113" s="14">
        <f t="shared" si="5"/>
        <v>54.21</v>
      </c>
    </row>
    <row r="114" spans="1:5">
      <c r="A114" s="13" t="s">
        <v>176</v>
      </c>
      <c r="B114" s="14">
        <v>31.66</v>
      </c>
      <c r="C114" s="14">
        <v>43.67</v>
      </c>
      <c r="D114" s="14">
        <v>31.5</v>
      </c>
      <c r="E114" s="14">
        <f t="shared" si="5"/>
        <v>106.83</v>
      </c>
    </row>
    <row r="115" spans="1:5">
      <c r="A115" s="13" t="s">
        <v>177</v>
      </c>
      <c r="B115" s="14">
        <v>0</v>
      </c>
      <c r="C115" s="14">
        <v>-1082.08</v>
      </c>
      <c r="D115" s="14">
        <v>0</v>
      </c>
      <c r="E115" s="14">
        <f t="shared" si="5"/>
        <v>-1082.08</v>
      </c>
    </row>
    <row r="116" spans="1:5">
      <c r="A116" s="13" t="s">
        <v>178</v>
      </c>
      <c r="B116" s="14">
        <v>2196.56</v>
      </c>
      <c r="C116" s="14">
        <v>2264.5</v>
      </c>
      <c r="D116" s="14">
        <v>2087.6999999999998</v>
      </c>
      <c r="E116" s="14">
        <f t="shared" si="5"/>
        <v>6548.7599999999993</v>
      </c>
    </row>
    <row r="117" spans="1:5">
      <c r="A117" s="13" t="s">
        <v>179</v>
      </c>
      <c r="B117" s="14">
        <v>498</v>
      </c>
      <c r="C117" s="14">
        <v>498</v>
      </c>
      <c r="D117" s="14">
        <v>498</v>
      </c>
      <c r="E117" s="14">
        <f t="shared" si="5"/>
        <v>1494</v>
      </c>
    </row>
    <row r="118" spans="1:5">
      <c r="A118" s="13" t="s">
        <v>180</v>
      </c>
      <c r="B118" s="14">
        <v>696.26</v>
      </c>
      <c r="C118" s="14">
        <v>2823.65</v>
      </c>
      <c r="D118" s="14">
        <v>0</v>
      </c>
      <c r="E118" s="14">
        <f t="shared" si="5"/>
        <v>3519.91</v>
      </c>
    </row>
    <row r="119" spans="1:5">
      <c r="A119" s="13" t="s">
        <v>181</v>
      </c>
      <c r="B119" s="14">
        <v>0</v>
      </c>
      <c r="C119" s="14">
        <v>0</v>
      </c>
      <c r="D119" s="14">
        <v>5237.5</v>
      </c>
      <c r="E119" s="14">
        <f t="shared" si="5"/>
        <v>5237.5</v>
      </c>
    </row>
    <row r="120" spans="1:5">
      <c r="A120" s="13" t="s">
        <v>182</v>
      </c>
      <c r="B120" s="14">
        <v>433.35</v>
      </c>
      <c r="C120" s="14">
        <v>433.35</v>
      </c>
      <c r="D120" s="14">
        <v>501.68</v>
      </c>
      <c r="E120" s="14">
        <f t="shared" si="5"/>
        <v>1368.38</v>
      </c>
    </row>
    <row r="121" spans="1:5">
      <c r="A121" s="13" t="s">
        <v>183</v>
      </c>
      <c r="B121" s="14">
        <v>701.82</v>
      </c>
      <c r="C121" s="14">
        <v>957.18</v>
      </c>
      <c r="D121" s="14">
        <v>0</v>
      </c>
      <c r="E121" s="14">
        <f t="shared" si="5"/>
        <v>1659</v>
      </c>
    </row>
    <row r="122" spans="1:5">
      <c r="A122" s="13" t="s">
        <v>184</v>
      </c>
      <c r="B122" s="14">
        <v>0</v>
      </c>
      <c r="C122" s="14">
        <v>877.83</v>
      </c>
      <c r="D122" s="14">
        <v>0</v>
      </c>
      <c r="E122" s="14">
        <f t="shared" si="5"/>
        <v>877.83</v>
      </c>
    </row>
    <row r="123" spans="1:5">
      <c r="A123" s="13" t="s">
        <v>185</v>
      </c>
      <c r="B123" s="14">
        <v>0</v>
      </c>
      <c r="C123" s="14">
        <v>0</v>
      </c>
      <c r="D123" s="14">
        <v>155.28</v>
      </c>
      <c r="E123" s="14">
        <f t="shared" si="5"/>
        <v>155.28</v>
      </c>
    </row>
    <row r="124" spans="1:5">
      <c r="A124" s="13" t="s">
        <v>186</v>
      </c>
      <c r="B124" s="14">
        <v>250</v>
      </c>
      <c r="C124" s="14">
        <v>150</v>
      </c>
      <c r="D124" s="14">
        <v>150</v>
      </c>
      <c r="E124" s="14">
        <f t="shared" si="5"/>
        <v>550</v>
      </c>
    </row>
    <row r="125" spans="1:5">
      <c r="A125" s="13" t="s">
        <v>187</v>
      </c>
      <c r="B125" s="14">
        <v>52.32</v>
      </c>
      <c r="C125" s="14">
        <v>0</v>
      </c>
      <c r="D125" s="14">
        <v>0</v>
      </c>
      <c r="E125" s="14">
        <f t="shared" si="5"/>
        <v>52.32</v>
      </c>
    </row>
    <row r="126" spans="1:5">
      <c r="A126" s="13" t="s">
        <v>188</v>
      </c>
      <c r="B126" s="14">
        <v>0</v>
      </c>
      <c r="C126" s="14">
        <v>0</v>
      </c>
      <c r="D126" s="14">
        <v>94.15</v>
      </c>
      <c r="E126" s="14">
        <f t="shared" si="5"/>
        <v>94.15</v>
      </c>
    </row>
    <row r="127" spans="1:5">
      <c r="A127" s="13" t="s">
        <v>189</v>
      </c>
      <c r="B127" s="14">
        <v>1752.5</v>
      </c>
      <c r="C127" s="14">
        <v>5522.5</v>
      </c>
      <c r="D127" s="14">
        <v>1777.5</v>
      </c>
      <c r="E127" s="14">
        <f t="shared" si="5"/>
        <v>9052.5</v>
      </c>
    </row>
    <row r="128" spans="1:5">
      <c r="A128" s="13" t="s">
        <v>190</v>
      </c>
      <c r="B128" s="14">
        <v>82.32</v>
      </c>
      <c r="C128" s="14">
        <v>0</v>
      </c>
      <c r="D128" s="14">
        <v>324</v>
      </c>
      <c r="E128" s="14">
        <f t="shared" si="5"/>
        <v>406.32</v>
      </c>
    </row>
    <row r="129" spans="1:5">
      <c r="A129" s="13" t="s">
        <v>191</v>
      </c>
      <c r="B129" s="14">
        <v>5782.43</v>
      </c>
      <c r="C129" s="14">
        <v>7117.58</v>
      </c>
      <c r="D129" s="14">
        <v>7758.79</v>
      </c>
      <c r="E129" s="14">
        <f t="shared" si="5"/>
        <v>20658.8</v>
      </c>
    </row>
    <row r="130" spans="1:5">
      <c r="A130" s="13" t="s">
        <v>192</v>
      </c>
      <c r="B130" s="14">
        <v>1100.8699999999999</v>
      </c>
      <c r="C130" s="14">
        <v>500.19</v>
      </c>
      <c r="D130" s="14">
        <v>1008.03</v>
      </c>
      <c r="E130" s="14">
        <f t="shared" si="5"/>
        <v>2609.09</v>
      </c>
    </row>
    <row r="131" spans="1:5">
      <c r="A131" s="13" t="s">
        <v>193</v>
      </c>
      <c r="B131" s="14">
        <v>1235.17</v>
      </c>
      <c r="C131" s="14">
        <v>3626.66</v>
      </c>
      <c r="D131" s="14">
        <v>1751.52</v>
      </c>
      <c r="E131" s="14">
        <f t="shared" si="5"/>
        <v>6613.35</v>
      </c>
    </row>
    <row r="132" spans="1:5">
      <c r="A132" s="13" t="s">
        <v>194</v>
      </c>
      <c r="B132" s="14">
        <v>571.88</v>
      </c>
      <c r="C132" s="14">
        <v>666.99</v>
      </c>
      <c r="D132" s="14">
        <v>573.84</v>
      </c>
      <c r="E132" s="14">
        <f t="shared" si="5"/>
        <v>1812.71</v>
      </c>
    </row>
    <row r="133" spans="1:5">
      <c r="A133" s="13" t="s">
        <v>195</v>
      </c>
      <c r="B133" s="14">
        <v>9674.06</v>
      </c>
      <c r="C133" s="14">
        <v>8635.75</v>
      </c>
      <c r="D133" s="14">
        <v>5899.46</v>
      </c>
      <c r="E133" s="14">
        <f t="shared" si="5"/>
        <v>24209.269999999997</v>
      </c>
    </row>
    <row r="134" spans="1:5">
      <c r="A134" s="13" t="s">
        <v>196</v>
      </c>
      <c r="B134" s="14">
        <v>2409.4299999999998</v>
      </c>
      <c r="C134" s="14">
        <v>1792.33</v>
      </c>
      <c r="D134" s="14">
        <v>0</v>
      </c>
      <c r="E134" s="14">
        <f t="shared" si="5"/>
        <v>4201.76</v>
      </c>
    </row>
    <row r="135" spans="1:5">
      <c r="A135" s="13" t="s">
        <v>197</v>
      </c>
      <c r="B135" s="14">
        <v>6543.06</v>
      </c>
      <c r="C135" s="14">
        <v>6091.49</v>
      </c>
      <c r="D135" s="14">
        <v>5000</v>
      </c>
      <c r="E135" s="14">
        <f t="shared" si="5"/>
        <v>17634.55</v>
      </c>
    </row>
    <row r="136" spans="1:5">
      <c r="A136" s="13" t="s">
        <v>198</v>
      </c>
      <c r="B136" s="14">
        <v>953.99</v>
      </c>
      <c r="C136" s="14">
        <v>103.22</v>
      </c>
      <c r="D136" s="14">
        <v>1581.04</v>
      </c>
      <c r="E136" s="14">
        <f t="shared" si="5"/>
        <v>2638.25</v>
      </c>
    </row>
    <row r="137" spans="1:5">
      <c r="A137" s="15" t="s">
        <v>199</v>
      </c>
      <c r="B137" s="16">
        <f>SUM(B32,B36,B40,B43:B66,B69,B72:B80,B83:B97,B100:B108,B111:B136)</f>
        <v>126485.97</v>
      </c>
      <c r="C137" s="16">
        <f>SUM(C32,C36,C40,C43:C66,C69,C72:C80,C83:C97,C100:C108,C111:C136)</f>
        <v>132023.62000000002</v>
      </c>
      <c r="D137" s="16">
        <f>SUM(D32,D36,D40,D43:D66,D69,D72:D80,D83:D97,D100:D108,D111:D136)</f>
        <v>120462.79999999997</v>
      </c>
      <c r="E137" s="16">
        <f>SUM(E32,E36,E40,E43:E66,E69,E72:E80,E83:E97,E100:E108,E111:E136)</f>
        <v>378972.39000000013</v>
      </c>
    </row>
    <row r="138" spans="1:5">
      <c r="A138" s="22" t="s">
        <v>200</v>
      </c>
      <c r="B138" s="18">
        <f>B27-B137</f>
        <v>86470.369999999966</v>
      </c>
      <c r="C138" s="18">
        <f>C27-C137</f>
        <v>63705.629999999976</v>
      </c>
      <c r="D138" s="18">
        <f>D27-D137</f>
        <v>15114.14</v>
      </c>
      <c r="E138" s="18">
        <f>E27-E137</f>
        <v>165290.1399999999</v>
      </c>
    </row>
    <row r="139" spans="1:5">
      <c r="A139" s="10" t="s">
        <v>201</v>
      </c>
      <c r="B139" s="11"/>
      <c r="C139" s="11"/>
      <c r="D139" s="11"/>
      <c r="E139" s="11"/>
    </row>
    <row r="140" spans="1:5">
      <c r="A140" s="12" t="s">
        <v>202</v>
      </c>
      <c r="B140" s="11"/>
      <c r="C140" s="11"/>
      <c r="D140" s="11"/>
      <c r="E140" s="11"/>
    </row>
    <row r="141" spans="1:5">
      <c r="A141" s="13" t="s">
        <v>203</v>
      </c>
      <c r="B141" s="14">
        <v>10650</v>
      </c>
      <c r="C141" s="14">
        <v>10650</v>
      </c>
      <c r="D141" s="14">
        <v>10650</v>
      </c>
      <c r="E141" s="14">
        <f t="shared" ref="E141:E148" si="6">SUM(B141:D141)</f>
        <v>31950</v>
      </c>
    </row>
    <row r="142" spans="1:5">
      <c r="A142" s="13" t="s">
        <v>204</v>
      </c>
      <c r="B142" s="14">
        <v>5507.34</v>
      </c>
      <c r="C142" s="14">
        <v>5423.16</v>
      </c>
      <c r="D142" s="14">
        <v>3725.45</v>
      </c>
      <c r="E142" s="14">
        <f t="shared" si="6"/>
        <v>14655.95</v>
      </c>
    </row>
    <row r="143" spans="1:5">
      <c r="A143" s="13" t="s">
        <v>205</v>
      </c>
      <c r="B143" s="14">
        <v>6848.97</v>
      </c>
      <c r="C143" s="14">
        <v>6848.97</v>
      </c>
      <c r="D143" s="14">
        <v>6848.97</v>
      </c>
      <c r="E143" s="14">
        <f t="shared" si="6"/>
        <v>20546.91</v>
      </c>
    </row>
    <row r="144" spans="1:5">
      <c r="A144" s="13" t="s">
        <v>206</v>
      </c>
      <c r="B144" s="14">
        <v>63186.66</v>
      </c>
      <c r="C144" s="14">
        <v>13399.74</v>
      </c>
      <c r="D144" s="14">
        <v>12160.62</v>
      </c>
      <c r="E144" s="14">
        <f t="shared" si="6"/>
        <v>88747.02</v>
      </c>
    </row>
    <row r="145" spans="1:5">
      <c r="A145" s="13" t="s">
        <v>207</v>
      </c>
      <c r="B145" s="14">
        <v>1620.63</v>
      </c>
      <c r="C145" s="14">
        <v>1620.63</v>
      </c>
      <c r="D145" s="14">
        <v>1620.63</v>
      </c>
      <c r="E145" s="14">
        <f t="shared" si="6"/>
        <v>4861.8900000000003</v>
      </c>
    </row>
    <row r="146" spans="1:5">
      <c r="A146" s="13" t="s">
        <v>208</v>
      </c>
      <c r="B146" s="14">
        <v>1239.3399999999999</v>
      </c>
      <c r="C146" s="14">
        <v>19561.11</v>
      </c>
      <c r="D146" s="14">
        <v>284.56</v>
      </c>
      <c r="E146" s="14">
        <f t="shared" si="6"/>
        <v>21085.010000000002</v>
      </c>
    </row>
    <row r="147" spans="1:5">
      <c r="A147" s="13" t="s">
        <v>209</v>
      </c>
      <c r="B147" s="14">
        <v>175</v>
      </c>
      <c r="C147" s="14">
        <v>0</v>
      </c>
      <c r="D147" s="14">
        <v>0</v>
      </c>
      <c r="E147" s="14">
        <f t="shared" si="6"/>
        <v>175</v>
      </c>
    </row>
    <row r="148" spans="1:5">
      <c r="A148" s="13" t="s">
        <v>210</v>
      </c>
      <c r="B148" s="14">
        <v>8606.26</v>
      </c>
      <c r="C148" s="14">
        <v>0</v>
      </c>
      <c r="D148" s="14">
        <v>0</v>
      </c>
      <c r="E148" s="14">
        <f t="shared" si="6"/>
        <v>8606.26</v>
      </c>
    </row>
    <row r="149" spans="1:5">
      <c r="A149" s="15" t="s">
        <v>211</v>
      </c>
      <c r="B149" s="16">
        <f>SUM(B141:B148)</f>
        <v>97834.2</v>
      </c>
      <c r="C149" s="16">
        <f>SUM(C141:C148)</f>
        <v>57503.61</v>
      </c>
      <c r="D149" s="16">
        <f>SUM(D141:D148)</f>
        <v>35290.229999999996</v>
      </c>
      <c r="E149" s="16">
        <f>SUM(E141:E148)</f>
        <v>190628.04000000004</v>
      </c>
    </row>
    <row r="150" spans="1:5">
      <c r="A150" s="22" t="s">
        <v>212</v>
      </c>
      <c r="B150" s="18">
        <f>0-B149</f>
        <v>-97834.2</v>
      </c>
      <c r="C150" s="18">
        <f>0-C149</f>
        <v>-57503.61</v>
      </c>
      <c r="D150" s="18">
        <f>0-D149</f>
        <v>-35290.229999999996</v>
      </c>
      <c r="E150" s="18">
        <f>0-E149</f>
        <v>-190628.04000000004</v>
      </c>
    </row>
    <row r="151" spans="1:5">
      <c r="A151" s="22" t="s">
        <v>213</v>
      </c>
      <c r="B151" s="18">
        <f>B138+B150</f>
        <v>-11363.830000000031</v>
      </c>
      <c r="C151" s="18">
        <f>C138+C150</f>
        <v>6202.019999999975</v>
      </c>
      <c r="D151" s="18">
        <f>D138+D150</f>
        <v>-20176.089999999997</v>
      </c>
      <c r="E151" s="18">
        <f>E138+E150</f>
        <v>-25337.90000000014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136D-BF17-493C-99B3-F23F91B4D374}">
  <dimension ref="B10:S59"/>
  <sheetViews>
    <sheetView showGridLines="0" topLeftCell="A10" workbookViewId="0">
      <selection sqref="A1:S29"/>
    </sheetView>
  </sheetViews>
  <sheetFormatPr defaultRowHeight="12.75"/>
  <cols>
    <col min="1" max="1" width="9.140625" style="29"/>
    <col min="2" max="2" width="42.85546875" style="29" customWidth="1"/>
    <col min="3" max="10" width="11.140625" style="29" customWidth="1"/>
    <col min="11" max="11" width="3.5703125" style="29" customWidth="1"/>
    <col min="12" max="19" width="11.140625" style="29" customWidth="1"/>
    <col min="20" max="16384" width="9.140625" style="29"/>
  </cols>
  <sheetData>
    <row r="10" spans="2:19" ht="13.5" customHeight="1">
      <c r="B10" s="30"/>
      <c r="C10" s="31" t="s">
        <v>233</v>
      </c>
      <c r="D10" s="32"/>
      <c r="E10" s="31" t="s">
        <v>233</v>
      </c>
      <c r="F10" s="31" t="s">
        <v>233</v>
      </c>
      <c r="G10" s="32"/>
      <c r="H10" s="32" t="s">
        <v>234</v>
      </c>
      <c r="I10" s="32"/>
      <c r="J10" s="32"/>
      <c r="K10" s="33"/>
      <c r="L10" s="31" t="s">
        <v>233</v>
      </c>
      <c r="M10" s="32"/>
      <c r="N10" s="31" t="s">
        <v>233</v>
      </c>
      <c r="O10" s="31" t="s">
        <v>233</v>
      </c>
      <c r="P10" s="32"/>
      <c r="Q10" s="32" t="s">
        <v>234</v>
      </c>
      <c r="R10" s="32"/>
      <c r="S10" s="32"/>
    </row>
    <row r="11" spans="2:19" ht="13.5" customHeight="1">
      <c r="B11" s="30"/>
      <c r="C11" s="31"/>
      <c r="D11" s="32"/>
      <c r="E11" s="31"/>
      <c r="F11" s="31"/>
      <c r="G11" s="32"/>
      <c r="H11" s="32"/>
      <c r="I11" s="32"/>
      <c r="J11" s="32"/>
      <c r="K11" s="33"/>
      <c r="L11" s="31"/>
      <c r="M11" s="32"/>
      <c r="N11" s="31"/>
      <c r="O11" s="31"/>
      <c r="P11" s="32"/>
      <c r="Q11" s="32"/>
      <c r="R11" s="32"/>
      <c r="S11" s="32"/>
    </row>
    <row r="12" spans="2:19" ht="21.75" customHeight="1">
      <c r="B12" s="30"/>
      <c r="C12" s="31" t="s">
        <v>235</v>
      </c>
      <c r="D12" s="32" t="s">
        <v>236</v>
      </c>
      <c r="E12" s="31" t="s">
        <v>237</v>
      </c>
      <c r="F12" s="31" t="s">
        <v>238</v>
      </c>
      <c r="G12" s="32" t="s">
        <v>236</v>
      </c>
      <c r="H12" s="32" t="s">
        <v>239</v>
      </c>
      <c r="I12" s="32" t="s">
        <v>240</v>
      </c>
      <c r="J12" s="32" t="s">
        <v>236</v>
      </c>
      <c r="K12" s="33"/>
      <c r="L12" s="31" t="s">
        <v>241</v>
      </c>
      <c r="M12" s="32" t="s">
        <v>236</v>
      </c>
      <c r="N12" s="31" t="s">
        <v>242</v>
      </c>
      <c r="O12" s="31" t="s">
        <v>243</v>
      </c>
      <c r="P12" s="32" t="s">
        <v>236</v>
      </c>
      <c r="Q12" s="32" t="s">
        <v>244</v>
      </c>
      <c r="R12" s="32" t="s">
        <v>245</v>
      </c>
      <c r="S12" s="32" t="s">
        <v>236</v>
      </c>
    </row>
    <row r="13" spans="2:19" ht="18.75" customHeight="1">
      <c r="B13" s="34" t="s">
        <v>246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</row>
    <row r="14" spans="2:19" ht="18" customHeight="1">
      <c r="B14" s="34" t="s">
        <v>247</v>
      </c>
      <c r="C14" s="36"/>
      <c r="D14" s="36"/>
      <c r="E14" s="36"/>
      <c r="F14" s="36"/>
      <c r="G14" s="36"/>
      <c r="H14" s="36"/>
      <c r="I14" s="36"/>
      <c r="J14" s="36"/>
      <c r="K14" s="35"/>
      <c r="L14" s="36"/>
      <c r="M14" s="36"/>
      <c r="N14" s="36"/>
      <c r="O14" s="36"/>
      <c r="P14" s="36"/>
      <c r="Q14" s="36"/>
      <c r="R14" s="36"/>
      <c r="S14" s="36"/>
    </row>
    <row r="15" spans="2:19" ht="18" customHeight="1">
      <c r="B15" s="34" t="s">
        <v>248</v>
      </c>
      <c r="C15" s="36"/>
      <c r="D15" s="36"/>
      <c r="E15" s="36"/>
      <c r="F15" s="36"/>
      <c r="G15" s="36"/>
      <c r="H15" s="36"/>
      <c r="I15" s="36"/>
      <c r="J15" s="36"/>
      <c r="K15" s="35"/>
      <c r="L15" s="36"/>
      <c r="M15" s="36"/>
      <c r="N15" s="36"/>
      <c r="O15" s="36"/>
      <c r="P15" s="36"/>
      <c r="Q15" s="36"/>
      <c r="R15" s="36"/>
      <c r="S15" s="36"/>
    </row>
    <row r="16" spans="2:19" ht="18" customHeight="1">
      <c r="B16" s="37" t="s">
        <v>249</v>
      </c>
      <c r="C16" s="36"/>
      <c r="D16" s="36"/>
      <c r="E16" s="36"/>
      <c r="F16" s="36"/>
      <c r="G16" s="36"/>
      <c r="H16" s="36"/>
      <c r="I16" s="36"/>
      <c r="J16" s="36"/>
      <c r="K16" s="35"/>
      <c r="L16" s="36"/>
      <c r="M16" s="36"/>
      <c r="N16" s="36"/>
      <c r="O16" s="36"/>
      <c r="P16" s="36"/>
      <c r="Q16" s="36"/>
      <c r="R16" s="36"/>
      <c r="S16" s="36"/>
    </row>
    <row r="17" spans="2:19" s="38" customFormat="1" ht="18" customHeight="1">
      <c r="B17" s="39" t="s">
        <v>218</v>
      </c>
      <c r="C17" s="40">
        <v>8564</v>
      </c>
      <c r="D17" s="41">
        <v>6.2199999999999998E-2</v>
      </c>
      <c r="E17" s="40">
        <v>8037</v>
      </c>
      <c r="F17" s="40">
        <v>527</v>
      </c>
      <c r="G17" s="41">
        <v>3.7000000000000005E-2</v>
      </c>
      <c r="H17" s="42">
        <v>8453</v>
      </c>
      <c r="I17" s="43">
        <v>111</v>
      </c>
      <c r="J17" s="41">
        <v>3.9699999999999999E-2</v>
      </c>
      <c r="K17" s="44"/>
      <c r="L17" s="40">
        <v>57302</v>
      </c>
      <c r="M17" s="41">
        <v>4.5199999999999997E-2</v>
      </c>
      <c r="N17" s="40">
        <v>54963</v>
      </c>
      <c r="O17" s="40">
        <v>2339</v>
      </c>
      <c r="P17" s="41">
        <v>3.5299999999999998E-2</v>
      </c>
      <c r="Q17" s="42">
        <v>57500</v>
      </c>
      <c r="R17" s="45">
        <v>-198</v>
      </c>
      <c r="S17" s="41">
        <v>3.7999999999999999E-2</v>
      </c>
    </row>
    <row r="18" spans="2:19" ht="18" customHeight="1">
      <c r="B18" s="46" t="s">
        <v>250</v>
      </c>
      <c r="C18" s="47">
        <v>8564</v>
      </c>
      <c r="D18" s="48">
        <v>6.2199999999999998E-2</v>
      </c>
      <c r="E18" s="47">
        <v>8037</v>
      </c>
      <c r="F18" s="47">
        <v>527</v>
      </c>
      <c r="G18" s="48">
        <v>3.7000000000000005E-2</v>
      </c>
      <c r="H18" s="47">
        <v>8453</v>
      </c>
      <c r="I18" s="49">
        <v>111</v>
      </c>
      <c r="J18" s="48">
        <v>3.9699999999999999E-2</v>
      </c>
      <c r="K18" s="50"/>
      <c r="L18" s="47">
        <v>57302</v>
      </c>
      <c r="M18" s="48">
        <v>4.5199999999999997E-2</v>
      </c>
      <c r="N18" s="47">
        <v>54963</v>
      </c>
      <c r="O18" s="47">
        <v>2339</v>
      </c>
      <c r="P18" s="48">
        <v>3.5299999999999998E-2</v>
      </c>
      <c r="Q18" s="47">
        <v>57500</v>
      </c>
      <c r="R18" s="51">
        <v>-198</v>
      </c>
      <c r="S18" s="48">
        <v>3.7999999999999999E-2</v>
      </c>
    </row>
    <row r="19" spans="2:19" ht="18" customHeight="1">
      <c r="B19" s="52" t="s">
        <v>251</v>
      </c>
      <c r="C19" s="53">
        <v>0</v>
      </c>
      <c r="D19" s="54"/>
      <c r="E19" s="53">
        <v>0</v>
      </c>
      <c r="F19" s="53">
        <v>0</v>
      </c>
      <c r="G19" s="54"/>
      <c r="H19" s="53">
        <v>0</v>
      </c>
      <c r="I19" s="55"/>
      <c r="J19" s="54"/>
      <c r="K19" s="50"/>
      <c r="L19" s="47">
        <v>486</v>
      </c>
      <c r="M19" s="48">
        <v>4.0000000000000002E-4</v>
      </c>
      <c r="N19" s="53">
        <v>0</v>
      </c>
      <c r="O19" s="47">
        <v>486</v>
      </c>
      <c r="P19" s="54"/>
      <c r="Q19" s="53">
        <v>0</v>
      </c>
      <c r="R19" s="51">
        <v>486</v>
      </c>
      <c r="S19" s="54"/>
    </row>
    <row r="20" spans="2:19" ht="18" customHeight="1">
      <c r="B20" s="52" t="s">
        <v>252</v>
      </c>
      <c r="C20" s="53">
        <v>0</v>
      </c>
      <c r="D20" s="54"/>
      <c r="E20" s="47">
        <v>964</v>
      </c>
      <c r="F20" s="47">
        <v>-964</v>
      </c>
      <c r="G20" s="48">
        <v>4.4000000000000003E-3</v>
      </c>
      <c r="H20" s="53">
        <v>0</v>
      </c>
      <c r="I20" s="55"/>
      <c r="J20" s="54"/>
      <c r="K20" s="50"/>
      <c r="L20" s="53">
        <v>0</v>
      </c>
      <c r="M20" s="54"/>
      <c r="N20" s="47">
        <v>6596</v>
      </c>
      <c r="O20" s="47">
        <v>-6596</v>
      </c>
      <c r="P20" s="48">
        <v>4.1999999999999997E-3</v>
      </c>
      <c r="Q20" s="47">
        <v>3608</v>
      </c>
      <c r="R20" s="51">
        <v>-3608</v>
      </c>
      <c r="S20" s="48">
        <v>2.3999999999999998E-3</v>
      </c>
    </row>
    <row r="21" spans="2:19" ht="18.75" customHeight="1"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spans="2:19" ht="18" customHeight="1">
      <c r="B22" s="58" t="s">
        <v>253</v>
      </c>
      <c r="C22" s="47">
        <v>8564</v>
      </c>
      <c r="D22" s="48">
        <v>6.2199999999999998E-2</v>
      </c>
      <c r="E22" s="47">
        <v>9001</v>
      </c>
      <c r="F22" s="47">
        <v>-437</v>
      </c>
      <c r="G22" s="48">
        <v>4.1399999999999999E-2</v>
      </c>
      <c r="H22" s="47">
        <v>8453</v>
      </c>
      <c r="I22" s="49">
        <v>111</v>
      </c>
      <c r="J22" s="48">
        <v>3.9699999999999999E-2</v>
      </c>
      <c r="K22" s="50"/>
      <c r="L22" s="47">
        <v>57788</v>
      </c>
      <c r="M22" s="48">
        <v>4.5599999999999995E-2</v>
      </c>
      <c r="N22" s="47">
        <v>61559</v>
      </c>
      <c r="O22" s="47">
        <v>-3771</v>
      </c>
      <c r="P22" s="48">
        <v>3.9599999999999996E-2</v>
      </c>
      <c r="Q22" s="47">
        <v>61108</v>
      </c>
      <c r="R22" s="51">
        <v>-3320</v>
      </c>
      <c r="S22" s="48">
        <v>4.0300000000000002E-2</v>
      </c>
    </row>
    <row r="23" spans="2:19" ht="18" customHeight="1">
      <c r="B23" s="34" t="s">
        <v>254</v>
      </c>
      <c r="C23" s="36"/>
      <c r="D23" s="36"/>
      <c r="E23" s="36"/>
      <c r="F23" s="36"/>
      <c r="G23" s="36"/>
      <c r="H23" s="36"/>
      <c r="I23" s="36"/>
      <c r="J23" s="36"/>
      <c r="K23" s="35"/>
      <c r="L23" s="36"/>
      <c r="M23" s="36"/>
      <c r="N23" s="36"/>
      <c r="O23" s="36"/>
      <c r="P23" s="36"/>
      <c r="Q23" s="36"/>
      <c r="R23" s="36"/>
      <c r="S23" s="36"/>
    </row>
    <row r="24" spans="2:19" ht="18" customHeight="1">
      <c r="B24" s="59" t="s">
        <v>255</v>
      </c>
      <c r="C24" s="60">
        <v>583</v>
      </c>
      <c r="D24" s="48">
        <v>4.1999999999999997E-3</v>
      </c>
      <c r="E24" s="60">
        <v>603</v>
      </c>
      <c r="F24" s="60">
        <v>-19</v>
      </c>
      <c r="G24" s="48">
        <v>2.8000000000000004E-3</v>
      </c>
      <c r="H24" s="47">
        <v>460</v>
      </c>
      <c r="I24" s="49">
        <v>124</v>
      </c>
      <c r="J24" s="48">
        <v>2.2000000000000001E-3</v>
      </c>
      <c r="K24" s="50"/>
      <c r="L24" s="60">
        <v>4240</v>
      </c>
      <c r="M24" s="48">
        <v>3.3E-3</v>
      </c>
      <c r="N24" s="60">
        <v>4122</v>
      </c>
      <c r="O24" s="60">
        <v>118</v>
      </c>
      <c r="P24" s="48">
        <v>2.7000000000000001E-3</v>
      </c>
      <c r="Q24" s="47">
        <v>3699</v>
      </c>
      <c r="R24" s="51">
        <v>542</v>
      </c>
      <c r="S24" s="48">
        <v>2.3999999999999998E-3</v>
      </c>
    </row>
    <row r="25" spans="2:19" ht="18" customHeight="1">
      <c r="B25" s="59" t="s">
        <v>256</v>
      </c>
      <c r="C25" s="60">
        <v>731</v>
      </c>
      <c r="D25" s="48">
        <v>5.3E-3</v>
      </c>
      <c r="E25" s="60">
        <v>275</v>
      </c>
      <c r="F25" s="60">
        <v>456</v>
      </c>
      <c r="G25" s="48">
        <v>1.2999999999999999E-3</v>
      </c>
      <c r="H25" s="47">
        <v>48</v>
      </c>
      <c r="I25" s="49">
        <v>683</v>
      </c>
      <c r="J25" s="48">
        <v>2.0000000000000001E-4</v>
      </c>
      <c r="K25" s="50"/>
      <c r="L25" s="60">
        <v>3388</v>
      </c>
      <c r="M25" s="48">
        <v>2.7000000000000001E-3</v>
      </c>
      <c r="N25" s="60">
        <v>1925</v>
      </c>
      <c r="O25" s="60">
        <v>1463</v>
      </c>
      <c r="P25" s="48">
        <v>1.1999999999999999E-3</v>
      </c>
      <c r="Q25" s="47">
        <v>282</v>
      </c>
      <c r="R25" s="51">
        <v>3106</v>
      </c>
      <c r="S25" s="48">
        <v>2.0000000000000001E-4</v>
      </c>
    </row>
    <row r="26" spans="2:19" ht="18" customHeight="1">
      <c r="B26" s="59" t="s">
        <v>257</v>
      </c>
      <c r="C26" s="60">
        <v>90</v>
      </c>
      <c r="D26" s="48">
        <v>7.000000000000001E-4</v>
      </c>
      <c r="E26" s="60">
        <v>408</v>
      </c>
      <c r="F26" s="60">
        <v>-318</v>
      </c>
      <c r="G26" s="48">
        <v>1.9E-3</v>
      </c>
      <c r="H26" s="47">
        <v>333</v>
      </c>
      <c r="I26" s="49">
        <v>-244</v>
      </c>
      <c r="J26" s="48">
        <v>1.6000000000000001E-3</v>
      </c>
      <c r="K26" s="50"/>
      <c r="L26" s="60">
        <v>668</v>
      </c>
      <c r="M26" s="48">
        <v>5.0000000000000001E-4</v>
      </c>
      <c r="N26" s="60">
        <v>2856</v>
      </c>
      <c r="O26" s="60">
        <v>-2188</v>
      </c>
      <c r="P26" s="48">
        <v>1.8E-3</v>
      </c>
      <c r="Q26" s="47">
        <v>2745</v>
      </c>
      <c r="R26" s="51">
        <v>-2078</v>
      </c>
      <c r="S26" s="48">
        <v>1.8E-3</v>
      </c>
    </row>
    <row r="27" spans="2:19" ht="18" customHeight="1">
      <c r="B27" s="59" t="s">
        <v>258</v>
      </c>
      <c r="C27" s="60">
        <v>511</v>
      </c>
      <c r="D27" s="48">
        <v>3.7000000000000002E-3</v>
      </c>
      <c r="E27" s="61">
        <v>0</v>
      </c>
      <c r="F27" s="60">
        <v>511</v>
      </c>
      <c r="G27" s="54"/>
      <c r="H27" s="53">
        <v>0</v>
      </c>
      <c r="I27" s="49">
        <v>511</v>
      </c>
      <c r="J27" s="54"/>
      <c r="K27" s="50"/>
      <c r="L27" s="60">
        <v>1548</v>
      </c>
      <c r="M27" s="48">
        <v>1.1999999999999999E-3</v>
      </c>
      <c r="N27" s="61">
        <v>0</v>
      </c>
      <c r="O27" s="60">
        <v>1548</v>
      </c>
      <c r="P27" s="54"/>
      <c r="Q27" s="47">
        <v>225</v>
      </c>
      <c r="R27" s="51">
        <v>1323</v>
      </c>
      <c r="S27" s="48">
        <v>1E-4</v>
      </c>
    </row>
    <row r="28" spans="2:19" ht="18.75" customHeight="1"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</row>
    <row r="29" spans="2:19" ht="18" customHeight="1">
      <c r="B29" s="62" t="s">
        <v>259</v>
      </c>
      <c r="C29" s="63">
        <v>1915</v>
      </c>
      <c r="D29" s="64">
        <v>1.3899999999999999E-2</v>
      </c>
      <c r="E29" s="63">
        <v>1286</v>
      </c>
      <c r="F29" s="63">
        <v>629</v>
      </c>
      <c r="G29" s="64">
        <v>5.8999999999999999E-3</v>
      </c>
      <c r="H29" s="63">
        <v>841</v>
      </c>
      <c r="I29" s="65">
        <v>1073</v>
      </c>
      <c r="J29" s="64">
        <v>4.0000000000000001E-3</v>
      </c>
      <c r="K29" s="66"/>
      <c r="L29" s="63">
        <v>9844</v>
      </c>
      <c r="M29" s="64">
        <v>7.8000000000000005E-3</v>
      </c>
      <c r="N29" s="63">
        <v>8903</v>
      </c>
      <c r="O29" s="63">
        <v>941</v>
      </c>
      <c r="P29" s="64">
        <v>5.6999999999999993E-3</v>
      </c>
      <c r="Q29" s="63">
        <v>6951</v>
      </c>
      <c r="R29" s="67">
        <v>2893</v>
      </c>
      <c r="S29" s="64">
        <v>4.5999999999999999E-3</v>
      </c>
    </row>
    <row r="30" spans="2:19" ht="18.75" customHeight="1">
      <c r="B30" s="68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</row>
    <row r="31" spans="2:19" ht="18" customHeight="1">
      <c r="B31" s="58" t="s">
        <v>260</v>
      </c>
      <c r="C31" s="47">
        <v>10479</v>
      </c>
      <c r="D31" s="48">
        <v>7.6100000000000001E-2</v>
      </c>
      <c r="E31" s="47">
        <v>10287</v>
      </c>
      <c r="F31" s="47">
        <v>192</v>
      </c>
      <c r="G31" s="48">
        <v>4.7400000000000005E-2</v>
      </c>
      <c r="H31" s="47">
        <v>9294</v>
      </c>
      <c r="I31" s="49">
        <v>1184</v>
      </c>
      <c r="J31" s="48">
        <v>4.3700000000000003E-2</v>
      </c>
      <c r="K31" s="50"/>
      <c r="L31" s="47">
        <v>67632</v>
      </c>
      <c r="M31" s="48">
        <v>5.33E-2</v>
      </c>
      <c r="N31" s="47">
        <v>70462</v>
      </c>
      <c r="O31" s="47">
        <v>-2830</v>
      </c>
      <c r="P31" s="48">
        <v>4.53E-2</v>
      </c>
      <c r="Q31" s="47">
        <v>68059</v>
      </c>
      <c r="R31" s="51">
        <v>-427</v>
      </c>
      <c r="S31" s="48">
        <v>4.4900000000000002E-2</v>
      </c>
    </row>
    <row r="32" spans="2:19" ht="18.75" customHeight="1">
      <c r="B32" s="68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</row>
    <row r="33" spans="2:19" ht="18" customHeight="1">
      <c r="B33" s="34" t="s">
        <v>261</v>
      </c>
      <c r="C33" s="36"/>
      <c r="D33" s="36"/>
      <c r="E33" s="36"/>
      <c r="F33" s="36"/>
      <c r="G33" s="36"/>
      <c r="H33" s="36"/>
      <c r="I33" s="36"/>
      <c r="J33" s="36"/>
      <c r="K33" s="35"/>
      <c r="L33" s="36"/>
      <c r="M33" s="36"/>
      <c r="N33" s="36"/>
      <c r="O33" s="36"/>
      <c r="P33" s="36"/>
      <c r="Q33" s="36"/>
      <c r="R33" s="36"/>
      <c r="S33" s="36"/>
    </row>
    <row r="34" spans="2:19" ht="18" customHeight="1">
      <c r="B34" s="59" t="s">
        <v>262</v>
      </c>
      <c r="C34" s="61">
        <v>0</v>
      </c>
      <c r="D34" s="54"/>
      <c r="E34" s="61">
        <v>0</v>
      </c>
      <c r="F34" s="61">
        <v>0</v>
      </c>
      <c r="G34" s="54"/>
      <c r="H34" s="53">
        <v>0</v>
      </c>
      <c r="I34" s="55"/>
      <c r="J34" s="54"/>
      <c r="K34" s="50"/>
      <c r="L34" s="61">
        <v>0</v>
      </c>
      <c r="M34" s="54"/>
      <c r="N34" s="60">
        <v>2000</v>
      </c>
      <c r="O34" s="60">
        <v>-2000</v>
      </c>
      <c r="P34" s="48">
        <v>1.2999999999999999E-3</v>
      </c>
      <c r="Q34" s="53">
        <v>0</v>
      </c>
      <c r="R34" s="69"/>
      <c r="S34" s="54"/>
    </row>
    <row r="35" spans="2:19" ht="18" customHeight="1">
      <c r="B35" s="59" t="s">
        <v>263</v>
      </c>
      <c r="C35" s="60">
        <v>500</v>
      </c>
      <c r="D35" s="48">
        <v>3.5999999999999999E-3</v>
      </c>
      <c r="E35" s="60">
        <v>500</v>
      </c>
      <c r="F35" s="61">
        <v>0</v>
      </c>
      <c r="G35" s="48">
        <v>2.3E-3</v>
      </c>
      <c r="H35" s="47">
        <v>500</v>
      </c>
      <c r="I35" s="55">
        <v>0</v>
      </c>
      <c r="J35" s="48">
        <v>2.3E-3</v>
      </c>
      <c r="K35" s="50"/>
      <c r="L35" s="60">
        <v>3522</v>
      </c>
      <c r="M35" s="48">
        <v>2.8000000000000004E-3</v>
      </c>
      <c r="N35" s="60">
        <v>3500</v>
      </c>
      <c r="O35" s="60">
        <v>22</v>
      </c>
      <c r="P35" s="48">
        <v>2.3E-3</v>
      </c>
      <c r="Q35" s="47">
        <v>3500</v>
      </c>
      <c r="R35" s="51">
        <v>22</v>
      </c>
      <c r="S35" s="48">
        <v>2.3E-3</v>
      </c>
    </row>
    <row r="36" spans="2:19" ht="18" customHeight="1">
      <c r="B36" s="59" t="s">
        <v>264</v>
      </c>
      <c r="C36" s="61">
        <v>0</v>
      </c>
      <c r="D36" s="54"/>
      <c r="E36" s="60">
        <v>100</v>
      </c>
      <c r="F36" s="60">
        <v>-100</v>
      </c>
      <c r="G36" s="48">
        <v>5.0000000000000001E-4</v>
      </c>
      <c r="H36" s="47">
        <v>80</v>
      </c>
      <c r="I36" s="49">
        <v>-80</v>
      </c>
      <c r="J36" s="48">
        <v>4.0000000000000002E-4</v>
      </c>
      <c r="K36" s="50"/>
      <c r="L36" s="60">
        <v>352</v>
      </c>
      <c r="M36" s="48">
        <v>2.9999999999999997E-4</v>
      </c>
      <c r="N36" s="60">
        <v>700</v>
      </c>
      <c r="O36" s="60">
        <v>-348</v>
      </c>
      <c r="P36" s="48">
        <v>5.0000000000000001E-4</v>
      </c>
      <c r="Q36" s="47">
        <v>714</v>
      </c>
      <c r="R36" s="51">
        <v>-362</v>
      </c>
      <c r="S36" s="48">
        <v>5.0000000000000001E-4</v>
      </c>
    </row>
    <row r="37" spans="2:19" ht="18" customHeight="1">
      <c r="B37" s="59" t="s">
        <v>265</v>
      </c>
      <c r="C37" s="60">
        <v>608</v>
      </c>
      <c r="D37" s="48">
        <v>4.4000000000000003E-3</v>
      </c>
      <c r="E37" s="61">
        <v>0</v>
      </c>
      <c r="F37" s="60">
        <v>608</v>
      </c>
      <c r="G37" s="54"/>
      <c r="H37" s="47">
        <v>-1</v>
      </c>
      <c r="I37" s="49">
        <v>609</v>
      </c>
      <c r="J37" s="54">
        <v>0</v>
      </c>
      <c r="K37" s="50"/>
      <c r="L37" s="60">
        <v>725</v>
      </c>
      <c r="M37" s="48">
        <v>5.9999999999999995E-4</v>
      </c>
      <c r="N37" s="61">
        <v>0</v>
      </c>
      <c r="O37" s="60">
        <v>725</v>
      </c>
      <c r="P37" s="54"/>
      <c r="Q37" s="47">
        <v>-2</v>
      </c>
      <c r="R37" s="51">
        <v>727</v>
      </c>
      <c r="S37" s="54">
        <v>0</v>
      </c>
    </row>
    <row r="38" spans="2:19" ht="18" customHeight="1">
      <c r="B38" s="59" t="s">
        <v>266</v>
      </c>
      <c r="C38" s="60">
        <v>25</v>
      </c>
      <c r="D38" s="48">
        <v>2.0000000000000001E-4</v>
      </c>
      <c r="E38" s="61">
        <v>0</v>
      </c>
      <c r="F38" s="60">
        <v>25</v>
      </c>
      <c r="G38" s="54"/>
      <c r="H38" s="47">
        <v>336</v>
      </c>
      <c r="I38" s="49">
        <v>-311</v>
      </c>
      <c r="J38" s="48">
        <v>1.6000000000000001E-3</v>
      </c>
      <c r="K38" s="50"/>
      <c r="L38" s="60">
        <v>-231</v>
      </c>
      <c r="M38" s="48">
        <v>-2.0000000000000001E-4</v>
      </c>
      <c r="N38" s="61">
        <v>0</v>
      </c>
      <c r="O38" s="60">
        <v>-231</v>
      </c>
      <c r="P38" s="54"/>
      <c r="Q38" s="47">
        <v>2591</v>
      </c>
      <c r="R38" s="51">
        <v>-2822</v>
      </c>
      <c r="S38" s="48">
        <v>1.7000000000000001E-3</v>
      </c>
    </row>
    <row r="39" spans="2:19" ht="18" customHeight="1">
      <c r="B39" s="59" t="s">
        <v>267</v>
      </c>
      <c r="C39" s="60">
        <v>-414</v>
      </c>
      <c r="D39" s="48">
        <v>-3.0000000000000001E-3</v>
      </c>
      <c r="E39" s="61">
        <v>0</v>
      </c>
      <c r="F39" s="60">
        <v>-414</v>
      </c>
      <c r="G39" s="54"/>
      <c r="H39" s="47">
        <v>-247</v>
      </c>
      <c r="I39" s="49">
        <v>-167</v>
      </c>
      <c r="J39" s="48">
        <v>-1.1999999999999999E-3</v>
      </c>
      <c r="K39" s="50"/>
      <c r="L39" s="60">
        <v>-2744</v>
      </c>
      <c r="M39" s="48">
        <v>-2.2000000000000001E-3</v>
      </c>
      <c r="N39" s="61">
        <v>0</v>
      </c>
      <c r="O39" s="60">
        <v>-2744</v>
      </c>
      <c r="P39" s="54"/>
      <c r="Q39" s="47">
        <v>-1421</v>
      </c>
      <c r="R39" s="51">
        <v>-1323</v>
      </c>
      <c r="S39" s="48">
        <v>-8.9999999999999998E-4</v>
      </c>
    </row>
    <row r="40" spans="2:19" ht="18" customHeight="1">
      <c r="B40" s="59" t="s">
        <v>268</v>
      </c>
      <c r="C40" s="60">
        <v>-249</v>
      </c>
      <c r="D40" s="48">
        <v>-1.8E-3</v>
      </c>
      <c r="E40" s="61">
        <v>0</v>
      </c>
      <c r="F40" s="60">
        <v>-249</v>
      </c>
      <c r="G40" s="54"/>
      <c r="H40" s="53">
        <v>0</v>
      </c>
      <c r="I40" s="49">
        <v>-249</v>
      </c>
      <c r="J40" s="54"/>
      <c r="K40" s="50"/>
      <c r="L40" s="60">
        <v>14</v>
      </c>
      <c r="M40" s="54">
        <v>0</v>
      </c>
      <c r="N40" s="61">
        <v>0</v>
      </c>
      <c r="O40" s="60">
        <v>14</v>
      </c>
      <c r="P40" s="54"/>
      <c r="Q40" s="47">
        <v>-186</v>
      </c>
      <c r="R40" s="51">
        <v>200</v>
      </c>
      <c r="S40" s="48">
        <v>-1E-4</v>
      </c>
    </row>
    <row r="41" spans="2:19" ht="18" customHeight="1">
      <c r="B41" s="59" t="s">
        <v>269</v>
      </c>
      <c r="C41" s="60">
        <v>3807</v>
      </c>
      <c r="D41" s="48">
        <v>2.76E-2</v>
      </c>
      <c r="E41" s="60">
        <v>6081</v>
      </c>
      <c r="F41" s="60">
        <v>-2274</v>
      </c>
      <c r="G41" s="48">
        <v>2.7999999999999997E-2</v>
      </c>
      <c r="H41" s="47">
        <v>5371</v>
      </c>
      <c r="I41" s="49">
        <v>-1564</v>
      </c>
      <c r="J41" s="48">
        <v>2.52E-2</v>
      </c>
      <c r="K41" s="50"/>
      <c r="L41" s="60">
        <v>36064</v>
      </c>
      <c r="M41" s="48">
        <v>2.8399999999999998E-2</v>
      </c>
      <c r="N41" s="60">
        <v>42252</v>
      </c>
      <c r="O41" s="60">
        <v>-6188</v>
      </c>
      <c r="P41" s="48">
        <v>2.7200000000000002E-2</v>
      </c>
      <c r="Q41" s="47">
        <v>43481</v>
      </c>
      <c r="R41" s="51">
        <v>-7417</v>
      </c>
      <c r="S41" s="48">
        <v>2.87E-2</v>
      </c>
    </row>
    <row r="42" spans="2:19" ht="18" customHeight="1">
      <c r="B42" s="59" t="s">
        <v>270</v>
      </c>
      <c r="C42" s="61">
        <v>0</v>
      </c>
      <c r="D42" s="54"/>
      <c r="E42" s="61">
        <v>0</v>
      </c>
      <c r="F42" s="61">
        <v>0</v>
      </c>
      <c r="G42" s="54"/>
      <c r="H42" s="47">
        <v>190</v>
      </c>
      <c r="I42" s="49">
        <v>-190</v>
      </c>
      <c r="J42" s="48">
        <v>8.9999999999999998E-4</v>
      </c>
      <c r="K42" s="50"/>
      <c r="L42" s="61">
        <v>0</v>
      </c>
      <c r="M42" s="54"/>
      <c r="N42" s="61">
        <v>0</v>
      </c>
      <c r="O42" s="61">
        <v>0</v>
      </c>
      <c r="P42" s="54"/>
      <c r="Q42" s="47">
        <v>793</v>
      </c>
      <c r="R42" s="51">
        <v>-793</v>
      </c>
      <c r="S42" s="48">
        <v>5.0000000000000001E-4</v>
      </c>
    </row>
    <row r="43" spans="2:19" ht="18" customHeight="1">
      <c r="B43" s="59" t="s">
        <v>271</v>
      </c>
      <c r="C43" s="61">
        <v>0</v>
      </c>
      <c r="D43" s="54"/>
      <c r="E43" s="60">
        <v>72</v>
      </c>
      <c r="F43" s="60">
        <v>-72</v>
      </c>
      <c r="G43" s="48">
        <v>2.9999999999999997E-4</v>
      </c>
      <c r="H43" s="47">
        <v>72</v>
      </c>
      <c r="I43" s="49">
        <v>-72</v>
      </c>
      <c r="J43" s="48">
        <v>2.9999999999999997E-4</v>
      </c>
      <c r="K43" s="50"/>
      <c r="L43" s="60">
        <v>787</v>
      </c>
      <c r="M43" s="48">
        <v>5.9999999999999995E-4</v>
      </c>
      <c r="N43" s="60">
        <v>2335</v>
      </c>
      <c r="O43" s="60">
        <v>-1549</v>
      </c>
      <c r="P43" s="48">
        <v>1.5E-3</v>
      </c>
      <c r="Q43" s="47">
        <v>2335</v>
      </c>
      <c r="R43" s="51">
        <v>-1549</v>
      </c>
      <c r="S43" s="48">
        <v>1.5E-3</v>
      </c>
    </row>
    <row r="44" spans="2:19" ht="18" customHeight="1">
      <c r="B44" s="59" t="s">
        <v>272</v>
      </c>
      <c r="C44" s="60">
        <v>147</v>
      </c>
      <c r="D44" s="48">
        <v>1.1000000000000001E-3</v>
      </c>
      <c r="E44" s="60">
        <v>175</v>
      </c>
      <c r="F44" s="60">
        <v>-28</v>
      </c>
      <c r="G44" s="48">
        <v>8.0000000000000004E-4</v>
      </c>
      <c r="H44" s="47">
        <v>191</v>
      </c>
      <c r="I44" s="49">
        <v>-44</v>
      </c>
      <c r="J44" s="48">
        <v>8.9999999999999998E-4</v>
      </c>
      <c r="K44" s="50"/>
      <c r="L44" s="60">
        <v>1166</v>
      </c>
      <c r="M44" s="48">
        <v>8.9999999999999998E-4</v>
      </c>
      <c r="N44" s="60">
        <v>1225</v>
      </c>
      <c r="O44" s="60">
        <v>-59</v>
      </c>
      <c r="P44" s="48">
        <v>8.0000000000000004E-4</v>
      </c>
      <c r="Q44" s="47">
        <v>370</v>
      </c>
      <c r="R44" s="51">
        <v>796</v>
      </c>
      <c r="S44" s="48">
        <v>2.0000000000000001E-4</v>
      </c>
    </row>
    <row r="45" spans="2:19" ht="18" customHeight="1">
      <c r="B45" s="59" t="s">
        <v>273</v>
      </c>
      <c r="C45" s="61">
        <v>0</v>
      </c>
      <c r="D45" s="54"/>
      <c r="E45" s="61">
        <v>0</v>
      </c>
      <c r="F45" s="61">
        <v>0</v>
      </c>
      <c r="G45" s="54"/>
      <c r="H45" s="47">
        <v>75</v>
      </c>
      <c r="I45" s="49">
        <v>-75</v>
      </c>
      <c r="J45" s="48">
        <v>4.0000000000000002E-4</v>
      </c>
      <c r="K45" s="50"/>
      <c r="L45" s="60">
        <v>334</v>
      </c>
      <c r="M45" s="48">
        <v>2.9999999999999997E-4</v>
      </c>
      <c r="N45" s="61">
        <v>0</v>
      </c>
      <c r="O45" s="60">
        <v>334</v>
      </c>
      <c r="P45" s="54"/>
      <c r="Q45" s="47">
        <v>1048</v>
      </c>
      <c r="R45" s="51">
        <v>-715</v>
      </c>
      <c r="S45" s="48">
        <v>7.000000000000001E-4</v>
      </c>
    </row>
    <row r="46" spans="2:19" ht="18" customHeight="1">
      <c r="B46" s="59" t="s">
        <v>274</v>
      </c>
      <c r="C46" s="61">
        <v>0</v>
      </c>
      <c r="D46" s="54"/>
      <c r="E46" s="61">
        <v>0</v>
      </c>
      <c r="F46" s="61">
        <v>0</v>
      </c>
      <c r="G46" s="54"/>
      <c r="H46" s="53">
        <v>0</v>
      </c>
      <c r="I46" s="55"/>
      <c r="J46" s="54"/>
      <c r="K46" s="50"/>
      <c r="L46" s="60">
        <v>1890</v>
      </c>
      <c r="M46" s="48">
        <v>1.5E-3</v>
      </c>
      <c r="N46" s="60">
        <v>1460</v>
      </c>
      <c r="O46" s="60">
        <v>430</v>
      </c>
      <c r="P46" s="48">
        <v>8.9999999999999998E-4</v>
      </c>
      <c r="Q46" s="47">
        <v>2120</v>
      </c>
      <c r="R46" s="51">
        <v>-230</v>
      </c>
      <c r="S46" s="48">
        <v>1.4000000000000002E-3</v>
      </c>
    </row>
    <row r="47" spans="2:19" ht="18" customHeight="1">
      <c r="B47" s="59" t="s">
        <v>275</v>
      </c>
      <c r="C47" s="60">
        <v>26</v>
      </c>
      <c r="D47" s="48">
        <v>2.0000000000000001E-4</v>
      </c>
      <c r="E47" s="60">
        <v>100</v>
      </c>
      <c r="F47" s="60">
        <v>-74</v>
      </c>
      <c r="G47" s="48">
        <v>5.0000000000000001E-4</v>
      </c>
      <c r="H47" s="53">
        <v>0</v>
      </c>
      <c r="I47" s="49">
        <v>26</v>
      </c>
      <c r="J47" s="54"/>
      <c r="K47" s="50"/>
      <c r="L47" s="60">
        <v>487</v>
      </c>
      <c r="M47" s="48">
        <v>4.0000000000000002E-4</v>
      </c>
      <c r="N47" s="60">
        <v>700</v>
      </c>
      <c r="O47" s="60">
        <v>-213</v>
      </c>
      <c r="P47" s="48">
        <v>5.0000000000000001E-4</v>
      </c>
      <c r="Q47" s="47">
        <v>510</v>
      </c>
      <c r="R47" s="51">
        <v>-24</v>
      </c>
      <c r="S47" s="48">
        <v>2.9999999999999997E-4</v>
      </c>
    </row>
    <row r="48" spans="2:19" ht="18" customHeight="1">
      <c r="B48" s="59" t="s">
        <v>276</v>
      </c>
      <c r="C48" s="60">
        <v>192</v>
      </c>
      <c r="D48" s="48">
        <v>1.4000000000000002E-3</v>
      </c>
      <c r="E48" s="60">
        <v>476</v>
      </c>
      <c r="F48" s="60">
        <v>-284</v>
      </c>
      <c r="G48" s="48">
        <v>2.2000000000000001E-3</v>
      </c>
      <c r="H48" s="47">
        <v>727</v>
      </c>
      <c r="I48" s="49">
        <v>-535</v>
      </c>
      <c r="J48" s="48">
        <v>3.4000000000000002E-3</v>
      </c>
      <c r="K48" s="50"/>
      <c r="L48" s="60">
        <v>1824</v>
      </c>
      <c r="M48" s="48">
        <v>1.4000000000000002E-3</v>
      </c>
      <c r="N48" s="60">
        <v>3332</v>
      </c>
      <c r="O48" s="60">
        <v>-1508</v>
      </c>
      <c r="P48" s="48">
        <v>2.0999999999999999E-3</v>
      </c>
      <c r="Q48" s="47">
        <v>2725</v>
      </c>
      <c r="R48" s="51">
        <v>-901</v>
      </c>
      <c r="S48" s="48">
        <v>1.8E-3</v>
      </c>
    </row>
    <row r="49" spans="2:19" ht="18" customHeight="1">
      <c r="B49" s="59" t="s">
        <v>277</v>
      </c>
      <c r="C49" s="60">
        <v>41</v>
      </c>
      <c r="D49" s="48">
        <v>2.9999999999999997E-4</v>
      </c>
      <c r="E49" s="61">
        <v>0</v>
      </c>
      <c r="F49" s="60">
        <v>41</v>
      </c>
      <c r="G49" s="54"/>
      <c r="H49" s="53">
        <v>0</v>
      </c>
      <c r="I49" s="49">
        <v>41</v>
      </c>
      <c r="J49" s="54"/>
      <c r="K49" s="50"/>
      <c r="L49" s="60">
        <v>207</v>
      </c>
      <c r="M49" s="48">
        <v>2.0000000000000001E-4</v>
      </c>
      <c r="N49" s="61">
        <v>0</v>
      </c>
      <c r="O49" s="60">
        <v>207</v>
      </c>
      <c r="P49" s="54"/>
      <c r="Q49" s="47">
        <v>55</v>
      </c>
      <c r="R49" s="51">
        <v>152</v>
      </c>
      <c r="S49" s="54">
        <v>0</v>
      </c>
    </row>
    <row r="50" spans="2:19" ht="18" customHeight="1">
      <c r="B50" s="59" t="s">
        <v>278</v>
      </c>
      <c r="C50" s="60">
        <v>1140</v>
      </c>
      <c r="D50" s="48">
        <v>8.3000000000000001E-3</v>
      </c>
      <c r="E50" s="61">
        <v>0</v>
      </c>
      <c r="F50" s="60">
        <v>1140</v>
      </c>
      <c r="G50" s="54"/>
      <c r="H50" s="53">
        <v>0</v>
      </c>
      <c r="I50" s="49">
        <v>1140</v>
      </c>
      <c r="J50" s="54"/>
      <c r="K50" s="50"/>
      <c r="L50" s="60">
        <v>1932</v>
      </c>
      <c r="M50" s="48">
        <v>1.5E-3</v>
      </c>
      <c r="N50" s="61">
        <v>0</v>
      </c>
      <c r="O50" s="60">
        <v>1932</v>
      </c>
      <c r="P50" s="54"/>
      <c r="Q50" s="53">
        <v>0</v>
      </c>
      <c r="R50" s="51">
        <v>1932</v>
      </c>
      <c r="S50" s="54"/>
    </row>
    <row r="51" spans="2:19" ht="18" customHeight="1">
      <c r="B51" s="59" t="s">
        <v>279</v>
      </c>
      <c r="C51" s="61">
        <v>0</v>
      </c>
      <c r="D51" s="54"/>
      <c r="E51" s="61">
        <v>0</v>
      </c>
      <c r="F51" s="61">
        <v>0</v>
      </c>
      <c r="G51" s="54"/>
      <c r="H51" s="53">
        <v>0</v>
      </c>
      <c r="I51" s="55"/>
      <c r="J51" s="54"/>
      <c r="K51" s="50"/>
      <c r="L51" s="60">
        <v>50</v>
      </c>
      <c r="M51" s="54">
        <v>0</v>
      </c>
      <c r="N51" s="61">
        <v>0</v>
      </c>
      <c r="O51" s="60">
        <v>50</v>
      </c>
      <c r="P51" s="54"/>
      <c r="Q51" s="53">
        <v>0</v>
      </c>
      <c r="R51" s="51">
        <v>50</v>
      </c>
      <c r="S51" s="54"/>
    </row>
    <row r="52" spans="2:19" ht="18" customHeight="1">
      <c r="B52" s="59" t="s">
        <v>280</v>
      </c>
      <c r="C52" s="60">
        <v>75</v>
      </c>
      <c r="D52" s="48">
        <v>5.0000000000000001E-4</v>
      </c>
      <c r="E52" s="60">
        <v>75</v>
      </c>
      <c r="F52" s="61">
        <v>0</v>
      </c>
      <c r="G52" s="48">
        <v>2.9999999999999997E-4</v>
      </c>
      <c r="H52" s="47">
        <v>75</v>
      </c>
      <c r="I52" s="55">
        <v>0</v>
      </c>
      <c r="J52" s="48">
        <v>4.0000000000000002E-4</v>
      </c>
      <c r="K52" s="50"/>
      <c r="L52" s="60">
        <v>525</v>
      </c>
      <c r="M52" s="48">
        <v>4.0000000000000002E-4</v>
      </c>
      <c r="N52" s="60">
        <v>2925</v>
      </c>
      <c r="O52" s="60">
        <v>-2400</v>
      </c>
      <c r="P52" s="48">
        <v>1.9E-3</v>
      </c>
      <c r="Q52" s="47">
        <v>5693</v>
      </c>
      <c r="R52" s="51">
        <v>-5168</v>
      </c>
      <c r="S52" s="48">
        <v>3.8E-3</v>
      </c>
    </row>
    <row r="53" spans="2:19" ht="18" customHeight="1">
      <c r="B53" s="59" t="s">
        <v>281</v>
      </c>
      <c r="C53" s="60">
        <v>359</v>
      </c>
      <c r="D53" s="48">
        <v>2.5999999999999999E-3</v>
      </c>
      <c r="E53" s="60">
        <v>125</v>
      </c>
      <c r="F53" s="60">
        <v>234</v>
      </c>
      <c r="G53" s="48">
        <v>5.9999999999999995E-4</v>
      </c>
      <c r="H53" s="53">
        <v>0</v>
      </c>
      <c r="I53" s="49">
        <v>359</v>
      </c>
      <c r="J53" s="54"/>
      <c r="K53" s="50"/>
      <c r="L53" s="60">
        <v>627</v>
      </c>
      <c r="M53" s="48">
        <v>5.0000000000000001E-4</v>
      </c>
      <c r="N53" s="60">
        <v>875</v>
      </c>
      <c r="O53" s="60">
        <v>-248</v>
      </c>
      <c r="P53" s="48">
        <v>5.9999999999999995E-4</v>
      </c>
      <c r="Q53" s="53">
        <v>0</v>
      </c>
      <c r="R53" s="51">
        <v>627</v>
      </c>
      <c r="S53" s="54"/>
    </row>
    <row r="54" spans="2:19" ht="18" customHeight="1">
      <c r="B54" s="59" t="s">
        <v>282</v>
      </c>
      <c r="C54" s="61">
        <v>0</v>
      </c>
      <c r="D54" s="54"/>
      <c r="E54" s="61">
        <v>0</v>
      </c>
      <c r="F54" s="61">
        <v>0</v>
      </c>
      <c r="G54" s="54"/>
      <c r="H54" s="47">
        <v>226</v>
      </c>
      <c r="I54" s="49">
        <v>-226</v>
      </c>
      <c r="J54" s="48">
        <v>1.1000000000000001E-3</v>
      </c>
      <c r="K54" s="50"/>
      <c r="L54" s="61">
        <v>0</v>
      </c>
      <c r="M54" s="54">
        <v>0</v>
      </c>
      <c r="N54" s="60">
        <v>550</v>
      </c>
      <c r="O54" s="60">
        <v>-550</v>
      </c>
      <c r="P54" s="48">
        <v>4.0000000000000002E-4</v>
      </c>
      <c r="Q54" s="47">
        <v>1673</v>
      </c>
      <c r="R54" s="51">
        <v>-1673</v>
      </c>
      <c r="S54" s="48">
        <v>1.1000000000000001E-3</v>
      </c>
    </row>
    <row r="55" spans="2:19" ht="18" customHeight="1">
      <c r="B55" s="59" t="s">
        <v>283</v>
      </c>
      <c r="C55" s="60">
        <v>232</v>
      </c>
      <c r="D55" s="48">
        <v>1.7000000000000001E-3</v>
      </c>
      <c r="E55" s="61">
        <v>0</v>
      </c>
      <c r="F55" s="60">
        <v>232</v>
      </c>
      <c r="G55" s="54"/>
      <c r="H55" s="47">
        <v>122</v>
      </c>
      <c r="I55" s="49">
        <v>110</v>
      </c>
      <c r="J55" s="48">
        <v>5.9999999999999995E-4</v>
      </c>
      <c r="K55" s="50"/>
      <c r="L55" s="60">
        <v>1019</v>
      </c>
      <c r="M55" s="48">
        <v>8.0000000000000004E-4</v>
      </c>
      <c r="N55" s="61">
        <v>0</v>
      </c>
      <c r="O55" s="60">
        <v>1019</v>
      </c>
      <c r="P55" s="54"/>
      <c r="Q55" s="47">
        <v>765</v>
      </c>
      <c r="R55" s="51">
        <v>254</v>
      </c>
      <c r="S55" s="48">
        <v>5.0000000000000001E-4</v>
      </c>
    </row>
    <row r="56" spans="2:19" ht="18.75" customHeight="1"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</row>
    <row r="57" spans="2:19" ht="18" customHeight="1">
      <c r="B57" s="62" t="s">
        <v>284</v>
      </c>
      <c r="C57" s="63">
        <v>6489</v>
      </c>
      <c r="D57" s="64">
        <v>4.7100000000000003E-2</v>
      </c>
      <c r="E57" s="63">
        <v>7705</v>
      </c>
      <c r="F57" s="63">
        <v>-1215</v>
      </c>
      <c r="G57" s="64">
        <v>3.5499999999999997E-2</v>
      </c>
      <c r="H57" s="63">
        <v>7719</v>
      </c>
      <c r="I57" s="65">
        <v>-1229</v>
      </c>
      <c r="J57" s="64">
        <v>3.6299999999999999E-2</v>
      </c>
      <c r="K57" s="66"/>
      <c r="L57" s="63">
        <v>48550</v>
      </c>
      <c r="M57" s="64">
        <v>3.8300000000000001E-2</v>
      </c>
      <c r="N57" s="63">
        <v>61854</v>
      </c>
      <c r="O57" s="63">
        <v>-13304</v>
      </c>
      <c r="P57" s="64">
        <v>3.9800000000000002E-2</v>
      </c>
      <c r="Q57" s="63">
        <v>66765</v>
      </c>
      <c r="R57" s="67">
        <v>-18215</v>
      </c>
      <c r="S57" s="64">
        <v>4.41E-2</v>
      </c>
    </row>
    <row r="58" spans="2:19" ht="18.75" customHeight="1">
      <c r="B58" s="68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</row>
    <row r="59" spans="2:19" ht="18" customHeight="1">
      <c r="B59" s="62" t="s">
        <v>285</v>
      </c>
      <c r="C59" s="63">
        <v>16968</v>
      </c>
      <c r="D59" s="64">
        <v>0.1232</v>
      </c>
      <c r="E59" s="63">
        <v>17992</v>
      </c>
      <c r="F59" s="63">
        <v>-1024</v>
      </c>
      <c r="G59" s="64">
        <v>8.2799999999999999E-2</v>
      </c>
      <c r="H59" s="63">
        <v>17013</v>
      </c>
      <c r="I59" s="65">
        <v>-45</v>
      </c>
      <c r="J59" s="64">
        <v>7.9899999999999999E-2</v>
      </c>
      <c r="K59" s="66"/>
      <c r="L59" s="63">
        <v>116182</v>
      </c>
      <c r="M59" s="64">
        <v>9.1600000000000001E-2</v>
      </c>
      <c r="N59" s="63">
        <v>132316</v>
      </c>
      <c r="O59" s="63">
        <v>-16134</v>
      </c>
      <c r="P59" s="64">
        <v>8.5099999999999995E-2</v>
      </c>
      <c r="Q59" s="63">
        <v>134823</v>
      </c>
      <c r="R59" s="67">
        <v>-18641</v>
      </c>
      <c r="S59" s="64">
        <v>8.900000000000001E-2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E518-32C6-4099-9BB2-BA2B0D689ECA}">
  <dimension ref="A10:S88"/>
  <sheetViews>
    <sheetView showGridLines="0" topLeftCell="A23" workbookViewId="0">
      <selection sqref="A1:S29"/>
    </sheetView>
  </sheetViews>
  <sheetFormatPr defaultRowHeight="12.75"/>
  <cols>
    <col min="1" max="1" width="9.140625" style="29"/>
    <col min="2" max="2" width="38.140625" style="29" customWidth="1"/>
    <col min="3" max="10" width="11.140625" style="29" customWidth="1"/>
    <col min="11" max="11" width="3.5703125" style="29" customWidth="1"/>
    <col min="12" max="19" width="11.140625" style="29" customWidth="1"/>
    <col min="20" max="16384" width="9.140625" style="29"/>
  </cols>
  <sheetData>
    <row r="10" spans="2:19" hidden="1"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2:19" ht="13.5" customHeight="1">
      <c r="B11" s="30"/>
      <c r="C11" s="31" t="s">
        <v>233</v>
      </c>
      <c r="D11" s="71"/>
      <c r="E11" s="31" t="s">
        <v>233</v>
      </c>
      <c r="F11" s="31" t="s">
        <v>233</v>
      </c>
      <c r="G11" s="71"/>
      <c r="H11" s="71" t="s">
        <v>234</v>
      </c>
      <c r="I11" s="71"/>
      <c r="J11" s="71"/>
      <c r="K11" s="72"/>
      <c r="L11" s="31" t="s">
        <v>233</v>
      </c>
      <c r="M11" s="71"/>
      <c r="N11" s="31" t="s">
        <v>233</v>
      </c>
      <c r="O11" s="31" t="s">
        <v>233</v>
      </c>
      <c r="P11" s="71"/>
      <c r="Q11" s="71" t="s">
        <v>234</v>
      </c>
      <c r="R11" s="71"/>
      <c r="S11" s="71"/>
    </row>
    <row r="12" spans="2:19" ht="13.5" customHeight="1">
      <c r="B12" s="30"/>
      <c r="C12" s="31"/>
      <c r="D12" s="71"/>
      <c r="E12" s="31"/>
      <c r="F12" s="31"/>
      <c r="G12" s="71"/>
      <c r="H12" s="71"/>
      <c r="I12" s="71"/>
      <c r="J12" s="71"/>
      <c r="K12" s="72"/>
      <c r="L12" s="31"/>
      <c r="M12" s="71"/>
      <c r="N12" s="31"/>
      <c r="O12" s="31"/>
      <c r="P12" s="71"/>
      <c r="Q12" s="71"/>
      <c r="R12" s="71"/>
      <c r="S12" s="71"/>
    </row>
    <row r="13" spans="2:19" ht="21.75" customHeight="1">
      <c r="B13" s="30"/>
      <c r="C13" s="31" t="s">
        <v>235</v>
      </c>
      <c r="D13" s="71" t="s">
        <v>236</v>
      </c>
      <c r="E13" s="31" t="s">
        <v>237</v>
      </c>
      <c r="F13" s="31" t="s">
        <v>238</v>
      </c>
      <c r="G13" s="71" t="s">
        <v>236</v>
      </c>
      <c r="H13" s="71" t="s">
        <v>239</v>
      </c>
      <c r="I13" s="71" t="s">
        <v>240</v>
      </c>
      <c r="J13" s="71" t="s">
        <v>236</v>
      </c>
      <c r="K13" s="72"/>
      <c r="L13" s="31" t="s">
        <v>241</v>
      </c>
      <c r="M13" s="71" t="s">
        <v>236</v>
      </c>
      <c r="N13" s="31" t="s">
        <v>242</v>
      </c>
      <c r="O13" s="31" t="s">
        <v>243</v>
      </c>
      <c r="P13" s="71" t="s">
        <v>236</v>
      </c>
      <c r="Q13" s="71" t="s">
        <v>244</v>
      </c>
      <c r="R13" s="71" t="s">
        <v>245</v>
      </c>
      <c r="S13" s="71" t="s">
        <v>236</v>
      </c>
    </row>
    <row r="14" spans="2:19" ht="18" customHeight="1">
      <c r="B14" s="73" t="s">
        <v>286</v>
      </c>
      <c r="C14" s="74"/>
      <c r="D14" s="74"/>
      <c r="E14" s="74"/>
      <c r="F14" s="74"/>
      <c r="G14" s="74"/>
      <c r="H14" s="74"/>
      <c r="I14" s="74"/>
      <c r="J14" s="74"/>
      <c r="K14" s="75"/>
      <c r="L14" s="74"/>
      <c r="M14" s="74"/>
      <c r="N14" s="74"/>
      <c r="O14" s="74"/>
      <c r="P14" s="74"/>
      <c r="Q14" s="74"/>
      <c r="R14" s="74"/>
      <c r="S14" s="74"/>
    </row>
    <row r="15" spans="2:19" ht="18.75" customHeight="1">
      <c r="B15" s="76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</row>
    <row r="16" spans="2:19" ht="18" customHeight="1">
      <c r="B16" s="73" t="s">
        <v>287</v>
      </c>
      <c r="C16" s="74"/>
      <c r="D16" s="74"/>
      <c r="E16" s="74"/>
      <c r="F16" s="74"/>
      <c r="G16" s="74"/>
      <c r="H16" s="74"/>
      <c r="I16" s="74"/>
      <c r="J16" s="74"/>
      <c r="K16" s="75"/>
      <c r="L16" s="74"/>
      <c r="M16" s="74"/>
      <c r="N16" s="74"/>
      <c r="O16" s="74"/>
      <c r="P16" s="74"/>
      <c r="Q16" s="74"/>
      <c r="R16" s="74"/>
      <c r="S16" s="74"/>
    </row>
    <row r="17" spans="2:19" ht="18" customHeight="1">
      <c r="B17" s="73" t="s">
        <v>288</v>
      </c>
      <c r="C17" s="74"/>
      <c r="D17" s="74"/>
      <c r="E17" s="74"/>
      <c r="F17" s="74"/>
      <c r="G17" s="74"/>
      <c r="H17" s="74"/>
      <c r="I17" s="74"/>
      <c r="J17" s="74"/>
      <c r="K17" s="75"/>
      <c r="L17" s="74"/>
      <c r="M17" s="74"/>
      <c r="N17" s="74"/>
      <c r="O17" s="74"/>
      <c r="P17" s="74"/>
      <c r="Q17" s="74"/>
      <c r="R17" s="74"/>
      <c r="S17" s="74"/>
    </row>
    <row r="18" spans="2:19" ht="18" customHeight="1">
      <c r="B18" s="77" t="s">
        <v>289</v>
      </c>
      <c r="C18" s="78">
        <v>44571</v>
      </c>
      <c r="D18" s="79">
        <v>0.33260000000000001</v>
      </c>
      <c r="E18" s="78">
        <v>115372</v>
      </c>
      <c r="F18" s="78">
        <v>-70802</v>
      </c>
      <c r="G18" s="79">
        <v>0.54380000000000006</v>
      </c>
      <c r="H18" s="80">
        <v>115330</v>
      </c>
      <c r="I18" s="81">
        <v>-70759</v>
      </c>
      <c r="J18" s="79">
        <v>0.55349999999999999</v>
      </c>
      <c r="K18" s="50"/>
      <c r="L18" s="78">
        <v>487003</v>
      </c>
      <c r="M18" s="79">
        <v>0.39229999999999998</v>
      </c>
      <c r="N18" s="78">
        <v>847996</v>
      </c>
      <c r="O18" s="78">
        <v>-360993</v>
      </c>
      <c r="P18" s="79">
        <v>0.55520000000000003</v>
      </c>
      <c r="Q18" s="80">
        <v>834035</v>
      </c>
      <c r="R18" s="82">
        <v>-347032</v>
      </c>
      <c r="S18" s="79">
        <v>0.56009999999999993</v>
      </c>
    </row>
    <row r="19" spans="2:19" ht="18" customHeight="1">
      <c r="B19" s="77" t="s">
        <v>290</v>
      </c>
      <c r="C19" s="78">
        <v>10818</v>
      </c>
      <c r="D19" s="79">
        <v>8.0700000000000008E-2</v>
      </c>
      <c r="E19" s="78">
        <v>22060</v>
      </c>
      <c r="F19" s="78">
        <v>-11242</v>
      </c>
      <c r="G19" s="79">
        <v>0.10400000000000001</v>
      </c>
      <c r="H19" s="80">
        <v>21958</v>
      </c>
      <c r="I19" s="81">
        <v>-11140</v>
      </c>
      <c r="J19" s="79">
        <v>0.10539999999999999</v>
      </c>
      <c r="K19" s="50"/>
      <c r="L19" s="78">
        <v>72232</v>
      </c>
      <c r="M19" s="79">
        <v>5.8200000000000002E-2</v>
      </c>
      <c r="N19" s="78">
        <v>205395</v>
      </c>
      <c r="O19" s="78">
        <v>-133163</v>
      </c>
      <c r="P19" s="79">
        <v>0.13449999999999998</v>
      </c>
      <c r="Q19" s="80">
        <v>174538</v>
      </c>
      <c r="R19" s="82">
        <v>-102305</v>
      </c>
      <c r="S19" s="79">
        <v>0.11720000000000001</v>
      </c>
    </row>
    <row r="20" spans="2:19" ht="18" customHeight="1">
      <c r="B20" s="77" t="s">
        <v>291</v>
      </c>
      <c r="C20" s="78">
        <v>21036</v>
      </c>
      <c r="D20" s="79">
        <v>0.157</v>
      </c>
      <c r="E20" s="78">
        <v>3472</v>
      </c>
      <c r="F20" s="78">
        <v>17564</v>
      </c>
      <c r="G20" s="79">
        <v>1.6399999999999998E-2</v>
      </c>
      <c r="H20" s="80">
        <v>3129</v>
      </c>
      <c r="I20" s="81">
        <v>17907</v>
      </c>
      <c r="J20" s="79">
        <v>1.4999999999999999E-2</v>
      </c>
      <c r="K20" s="50"/>
      <c r="L20" s="78">
        <v>164305</v>
      </c>
      <c r="M20" s="79">
        <v>0.1323</v>
      </c>
      <c r="N20" s="78">
        <v>107354</v>
      </c>
      <c r="O20" s="78">
        <v>56951</v>
      </c>
      <c r="P20" s="79">
        <v>7.0300000000000001E-2</v>
      </c>
      <c r="Q20" s="80">
        <v>59005</v>
      </c>
      <c r="R20" s="82">
        <v>105300</v>
      </c>
      <c r="S20" s="79">
        <v>3.9599999999999996E-2</v>
      </c>
    </row>
    <row r="21" spans="2:19" ht="18" customHeight="1">
      <c r="B21" s="77" t="s">
        <v>292</v>
      </c>
      <c r="C21" s="78">
        <v>57590</v>
      </c>
      <c r="D21" s="79">
        <v>0.42969999999999997</v>
      </c>
      <c r="E21" s="78">
        <v>23684</v>
      </c>
      <c r="F21" s="78">
        <v>33906</v>
      </c>
      <c r="G21" s="79">
        <v>0.1116</v>
      </c>
      <c r="H21" s="80">
        <v>22180</v>
      </c>
      <c r="I21" s="81">
        <v>35410</v>
      </c>
      <c r="J21" s="79">
        <v>0.10640000000000001</v>
      </c>
      <c r="K21" s="50"/>
      <c r="L21" s="78">
        <v>389775</v>
      </c>
      <c r="M21" s="79">
        <v>0.314</v>
      </c>
      <c r="N21" s="78">
        <v>126952</v>
      </c>
      <c r="O21" s="78">
        <v>262824</v>
      </c>
      <c r="P21" s="79">
        <v>8.3100000000000007E-2</v>
      </c>
      <c r="Q21" s="80">
        <v>124083</v>
      </c>
      <c r="R21" s="82">
        <v>265692</v>
      </c>
      <c r="S21" s="79">
        <v>8.3299999999999999E-2</v>
      </c>
    </row>
    <row r="22" spans="2:19" ht="18.75" customHeight="1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</row>
    <row r="23" spans="2:19" ht="18" customHeight="1">
      <c r="B23" s="85" t="s">
        <v>293</v>
      </c>
      <c r="C23" s="86">
        <v>134014</v>
      </c>
      <c r="D23" s="87">
        <v>1</v>
      </c>
      <c r="E23" s="86">
        <v>164589</v>
      </c>
      <c r="F23" s="86">
        <v>-30575</v>
      </c>
      <c r="G23" s="87">
        <v>0.77579999999999993</v>
      </c>
      <c r="H23" s="86">
        <v>162597</v>
      </c>
      <c r="I23" s="88">
        <v>-28583</v>
      </c>
      <c r="J23" s="87">
        <v>0.78029999999999999</v>
      </c>
      <c r="K23" s="89"/>
      <c r="L23" s="86">
        <v>1113316</v>
      </c>
      <c r="M23" s="87">
        <v>0.89680000000000004</v>
      </c>
      <c r="N23" s="86">
        <v>1287697</v>
      </c>
      <c r="O23" s="86">
        <v>-174381</v>
      </c>
      <c r="P23" s="87">
        <v>0.84299999999999997</v>
      </c>
      <c r="Q23" s="86">
        <v>1191661</v>
      </c>
      <c r="R23" s="90">
        <v>-78345</v>
      </c>
      <c r="S23" s="87">
        <v>0.80019999999999991</v>
      </c>
    </row>
    <row r="24" spans="2:19" ht="18" customHeight="1">
      <c r="B24" s="73" t="s">
        <v>294</v>
      </c>
      <c r="C24" s="74"/>
      <c r="D24" s="74"/>
      <c r="E24" s="74"/>
      <c r="F24" s="74"/>
      <c r="G24" s="74"/>
      <c r="H24" s="74"/>
      <c r="I24" s="74"/>
      <c r="J24" s="74"/>
      <c r="K24" s="75"/>
      <c r="L24" s="74"/>
      <c r="M24" s="74"/>
      <c r="N24" s="74"/>
      <c r="O24" s="74"/>
      <c r="P24" s="74"/>
      <c r="Q24" s="74"/>
      <c r="R24" s="74"/>
      <c r="S24" s="74"/>
    </row>
    <row r="25" spans="2:19" ht="18" customHeight="1">
      <c r="B25" s="91" t="s">
        <v>295</v>
      </c>
      <c r="C25" s="92">
        <v>0</v>
      </c>
      <c r="D25" s="93"/>
      <c r="E25" s="80">
        <v>46527</v>
      </c>
      <c r="F25" s="80">
        <v>-46527</v>
      </c>
      <c r="G25" s="79">
        <v>0.21929999999999999</v>
      </c>
      <c r="H25" s="80">
        <v>46699</v>
      </c>
      <c r="I25" s="81">
        <v>-46699</v>
      </c>
      <c r="J25" s="79">
        <v>0.22409999999999999</v>
      </c>
      <c r="K25" s="50"/>
      <c r="L25" s="80">
        <v>39718</v>
      </c>
      <c r="M25" s="79">
        <v>3.2000000000000001E-2</v>
      </c>
      <c r="N25" s="80">
        <v>232001</v>
      </c>
      <c r="O25" s="80">
        <v>-192283</v>
      </c>
      <c r="P25" s="79">
        <v>0.15190000000000001</v>
      </c>
      <c r="Q25" s="80">
        <v>287859</v>
      </c>
      <c r="R25" s="82">
        <v>-248141</v>
      </c>
      <c r="S25" s="79">
        <v>0.19329999999999997</v>
      </c>
    </row>
    <row r="26" spans="2:19" ht="18" customHeight="1">
      <c r="B26" s="91" t="s">
        <v>296</v>
      </c>
      <c r="C26" s="92">
        <v>0</v>
      </c>
      <c r="D26" s="93"/>
      <c r="E26" s="92">
        <v>0</v>
      </c>
      <c r="F26" s="92">
        <v>0</v>
      </c>
      <c r="G26" s="93"/>
      <c r="H26" s="92">
        <v>0</v>
      </c>
      <c r="I26" s="94"/>
      <c r="J26" s="93"/>
      <c r="K26" s="50"/>
      <c r="L26" s="80">
        <v>1540</v>
      </c>
      <c r="M26" s="79">
        <v>1.1999999999999999E-3</v>
      </c>
      <c r="N26" s="92">
        <v>0</v>
      </c>
      <c r="O26" s="80">
        <v>1540</v>
      </c>
      <c r="P26" s="93"/>
      <c r="Q26" s="92">
        <v>0</v>
      </c>
      <c r="R26" s="82">
        <v>1540</v>
      </c>
      <c r="S26" s="93"/>
    </row>
    <row r="27" spans="2:19" ht="18" customHeight="1">
      <c r="B27" s="91" t="s">
        <v>297</v>
      </c>
      <c r="C27" s="92">
        <v>0</v>
      </c>
      <c r="D27" s="93"/>
      <c r="E27" s="92">
        <v>0</v>
      </c>
      <c r="F27" s="92">
        <v>0</v>
      </c>
      <c r="G27" s="93"/>
      <c r="H27" s="92">
        <v>0</v>
      </c>
      <c r="I27" s="94"/>
      <c r="J27" s="93"/>
      <c r="K27" s="50"/>
      <c r="L27" s="80">
        <v>86917</v>
      </c>
      <c r="M27" s="79">
        <v>7.0000000000000007E-2</v>
      </c>
      <c r="N27" s="92">
        <v>0</v>
      </c>
      <c r="O27" s="80">
        <v>86917</v>
      </c>
      <c r="P27" s="93"/>
      <c r="Q27" s="92">
        <v>0</v>
      </c>
      <c r="R27" s="82">
        <v>86917</v>
      </c>
      <c r="S27" s="93"/>
    </row>
    <row r="28" spans="2:19" ht="18.75" customHeight="1">
      <c r="B28" s="83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</row>
    <row r="29" spans="2:19" ht="18" customHeight="1">
      <c r="B29" s="95" t="s">
        <v>298</v>
      </c>
      <c r="C29" s="92">
        <v>0</v>
      </c>
      <c r="D29" s="93"/>
      <c r="E29" s="80">
        <v>46527</v>
      </c>
      <c r="F29" s="80">
        <v>-46527</v>
      </c>
      <c r="G29" s="79">
        <v>0.21929999999999999</v>
      </c>
      <c r="H29" s="80">
        <v>46699</v>
      </c>
      <c r="I29" s="81">
        <v>-46699</v>
      </c>
      <c r="J29" s="79">
        <v>0.22409999999999999</v>
      </c>
      <c r="K29" s="50"/>
      <c r="L29" s="80">
        <v>128175</v>
      </c>
      <c r="M29" s="79">
        <v>0.1032</v>
      </c>
      <c r="N29" s="80">
        <v>232001</v>
      </c>
      <c r="O29" s="80">
        <v>-103826</v>
      </c>
      <c r="P29" s="79">
        <v>0.15190000000000001</v>
      </c>
      <c r="Q29" s="80">
        <v>287859</v>
      </c>
      <c r="R29" s="82">
        <v>-159684</v>
      </c>
      <c r="S29" s="79">
        <v>0.19329999999999997</v>
      </c>
    </row>
    <row r="30" spans="2:19" ht="18.75" customHeight="1">
      <c r="B30" s="76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</row>
    <row r="31" spans="2:19" ht="18" customHeight="1">
      <c r="B31" s="91" t="s">
        <v>299</v>
      </c>
      <c r="C31" s="92">
        <v>0</v>
      </c>
      <c r="D31" s="93"/>
      <c r="E31" s="92">
        <v>0</v>
      </c>
      <c r="F31" s="92">
        <v>0</v>
      </c>
      <c r="G31" s="93"/>
      <c r="H31" s="80">
        <v>-1953</v>
      </c>
      <c r="I31" s="81">
        <v>1953</v>
      </c>
      <c r="J31" s="79">
        <v>-9.3999999999999986E-3</v>
      </c>
      <c r="K31" s="50"/>
      <c r="L31" s="92">
        <v>0</v>
      </c>
      <c r="M31" s="93"/>
      <c r="N31" s="92">
        <v>0</v>
      </c>
      <c r="O31" s="92">
        <v>0</v>
      </c>
      <c r="P31" s="93"/>
      <c r="Q31" s="80">
        <v>1893</v>
      </c>
      <c r="R31" s="82">
        <v>-1893</v>
      </c>
      <c r="S31" s="79">
        <v>1.2999999999999999E-3</v>
      </c>
    </row>
    <row r="32" spans="2:19" ht="18" customHeight="1">
      <c r="B32" s="91" t="s">
        <v>300</v>
      </c>
      <c r="C32" s="92">
        <v>0</v>
      </c>
      <c r="D32" s="93"/>
      <c r="E32" s="80">
        <v>1035</v>
      </c>
      <c r="F32" s="80">
        <v>-1035</v>
      </c>
      <c r="G32" s="79">
        <v>4.8999999999999998E-3</v>
      </c>
      <c r="H32" s="80">
        <v>1035</v>
      </c>
      <c r="I32" s="81">
        <v>-1035</v>
      </c>
      <c r="J32" s="79">
        <v>5.0000000000000001E-3</v>
      </c>
      <c r="K32" s="50"/>
      <c r="L32" s="80">
        <v>-21</v>
      </c>
      <c r="M32" s="93">
        <v>0</v>
      </c>
      <c r="N32" s="80">
        <v>7773</v>
      </c>
      <c r="O32" s="80">
        <v>-7794</v>
      </c>
      <c r="P32" s="79">
        <v>5.1000000000000004E-3</v>
      </c>
      <c r="Q32" s="80">
        <v>7773</v>
      </c>
      <c r="R32" s="82">
        <v>-7794</v>
      </c>
      <c r="S32" s="79">
        <v>5.1999999999999998E-3</v>
      </c>
    </row>
    <row r="33" spans="1:19" ht="18.75" customHeight="1">
      <c r="B33" s="76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</row>
    <row r="34" spans="1:19" ht="18" customHeight="1">
      <c r="B34" s="95" t="s">
        <v>301</v>
      </c>
      <c r="C34" s="80">
        <v>134014</v>
      </c>
      <c r="D34" s="79">
        <v>1</v>
      </c>
      <c r="E34" s="80">
        <v>212150</v>
      </c>
      <c r="F34" s="80">
        <v>-78136</v>
      </c>
      <c r="G34" s="79">
        <v>1</v>
      </c>
      <c r="H34" s="80">
        <v>208378</v>
      </c>
      <c r="I34" s="81">
        <v>-74364</v>
      </c>
      <c r="J34" s="79">
        <v>1</v>
      </c>
      <c r="K34" s="50"/>
      <c r="L34" s="80">
        <v>1241470</v>
      </c>
      <c r="M34" s="79">
        <v>1</v>
      </c>
      <c r="N34" s="80">
        <v>1527471</v>
      </c>
      <c r="O34" s="80">
        <v>-286002</v>
      </c>
      <c r="P34" s="79">
        <v>1</v>
      </c>
      <c r="Q34" s="80">
        <v>1489186</v>
      </c>
      <c r="R34" s="82">
        <v>-247716</v>
      </c>
      <c r="S34" s="79">
        <v>1</v>
      </c>
    </row>
    <row r="35" spans="1:19" ht="18.75" customHeight="1">
      <c r="B35" s="76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</row>
    <row r="36" spans="1:19" ht="18.75" customHeight="1">
      <c r="B36" s="73" t="s">
        <v>247</v>
      </c>
      <c r="C36" s="96"/>
      <c r="D36" s="97"/>
      <c r="E36" s="97"/>
      <c r="F36" s="97"/>
      <c r="G36" s="97"/>
      <c r="H36" s="97"/>
      <c r="I36" s="97"/>
      <c r="J36" s="97"/>
      <c r="K36" s="75"/>
      <c r="L36" s="97"/>
      <c r="M36" s="97"/>
      <c r="N36" s="97"/>
      <c r="O36" s="97"/>
      <c r="P36" s="97"/>
      <c r="Q36" s="97"/>
      <c r="R36" s="97"/>
      <c r="S36" s="97"/>
    </row>
    <row r="37" spans="1:19" ht="18.75" customHeight="1">
      <c r="B37" s="73" t="s">
        <v>248</v>
      </c>
      <c r="C37" s="97"/>
      <c r="D37" s="97"/>
      <c r="E37" s="97"/>
      <c r="F37" s="97"/>
      <c r="G37" s="97"/>
      <c r="H37" s="97"/>
      <c r="I37" s="97"/>
      <c r="J37" s="97"/>
      <c r="K37" s="75"/>
      <c r="L37" s="97"/>
      <c r="M37" s="97"/>
      <c r="N37" s="97"/>
      <c r="O37" s="97"/>
      <c r="P37" s="97"/>
      <c r="Q37" s="97"/>
      <c r="R37" s="97"/>
      <c r="S37" s="97"/>
    </row>
    <row r="38" spans="1:19" ht="18.75" customHeight="1">
      <c r="B38" s="73" t="s">
        <v>249</v>
      </c>
      <c r="C38" s="97"/>
      <c r="D38" s="97"/>
      <c r="E38" s="97"/>
      <c r="F38" s="97"/>
      <c r="G38" s="97"/>
      <c r="H38" s="97"/>
      <c r="I38" s="97"/>
      <c r="J38" s="97"/>
      <c r="K38" s="75"/>
      <c r="L38" s="97"/>
      <c r="M38" s="97"/>
      <c r="N38" s="97"/>
      <c r="O38" s="97"/>
      <c r="P38" s="97"/>
      <c r="Q38" s="97"/>
      <c r="R38" s="97"/>
      <c r="S38" s="97"/>
    </row>
    <row r="39" spans="1:19" ht="18" customHeight="1">
      <c r="B39" s="98" t="s">
        <v>302</v>
      </c>
      <c r="C39" s="74"/>
      <c r="D39" s="74"/>
      <c r="E39" s="74"/>
      <c r="F39" s="74"/>
      <c r="G39" s="74"/>
      <c r="H39" s="74"/>
      <c r="I39" s="74"/>
      <c r="J39" s="74"/>
      <c r="K39" s="75"/>
      <c r="L39" s="74"/>
      <c r="M39" s="74"/>
      <c r="N39" s="74"/>
      <c r="O39" s="74"/>
      <c r="P39" s="74"/>
      <c r="Q39" s="74"/>
      <c r="R39" s="74"/>
      <c r="S39" s="74"/>
    </row>
    <row r="40" spans="1:19" ht="18" customHeight="1">
      <c r="A40" s="29">
        <v>60400</v>
      </c>
      <c r="B40" s="99" t="s">
        <v>214</v>
      </c>
      <c r="C40" s="100">
        <v>2939</v>
      </c>
      <c r="D40" s="101">
        <v>2.1899999999999999E-2</v>
      </c>
      <c r="E40" s="100">
        <v>4070</v>
      </c>
      <c r="F40" s="100">
        <v>-1131</v>
      </c>
      <c r="G40" s="101">
        <v>1.9199999999999998E-2</v>
      </c>
      <c r="H40" s="100">
        <v>4436</v>
      </c>
      <c r="I40" s="102">
        <v>-1497</v>
      </c>
      <c r="J40" s="101">
        <v>2.1299999999999999E-2</v>
      </c>
      <c r="K40" s="50"/>
      <c r="L40" s="100">
        <v>19573</v>
      </c>
      <c r="M40" s="101">
        <v>1.5800000000000002E-2</v>
      </c>
      <c r="N40" s="100">
        <v>23476</v>
      </c>
      <c r="O40" s="100">
        <v>-3904</v>
      </c>
      <c r="P40" s="101">
        <v>1.54E-2</v>
      </c>
      <c r="Q40" s="100">
        <v>24511</v>
      </c>
      <c r="R40" s="102">
        <v>-4939</v>
      </c>
      <c r="S40" s="101">
        <v>1.6500000000000001E-2</v>
      </c>
    </row>
    <row r="41" spans="1:19" ht="18" customHeight="1">
      <c r="A41" s="29">
        <v>60000</v>
      </c>
      <c r="B41" s="99" t="s">
        <v>303</v>
      </c>
      <c r="C41" s="103">
        <v>0</v>
      </c>
      <c r="D41" s="104"/>
      <c r="E41" s="100">
        <v>5056</v>
      </c>
      <c r="F41" s="100">
        <v>-5056</v>
      </c>
      <c r="G41" s="101">
        <v>2.3799999999999998E-2</v>
      </c>
      <c r="H41" s="100">
        <v>5056</v>
      </c>
      <c r="I41" s="102">
        <v>-5056</v>
      </c>
      <c r="J41" s="101">
        <v>2.4300000000000002E-2</v>
      </c>
      <c r="K41" s="50"/>
      <c r="L41" s="100">
        <v>-803</v>
      </c>
      <c r="M41" s="101">
        <v>-5.9999999999999995E-4</v>
      </c>
      <c r="N41" s="100">
        <v>35094</v>
      </c>
      <c r="O41" s="100">
        <v>-35897</v>
      </c>
      <c r="P41" s="101">
        <v>2.3E-2</v>
      </c>
      <c r="Q41" s="100">
        <v>35094</v>
      </c>
      <c r="R41" s="102">
        <v>-35897</v>
      </c>
      <c r="S41" s="101">
        <v>2.3599999999999999E-2</v>
      </c>
    </row>
    <row r="42" spans="1:19" ht="18" customHeight="1">
      <c r="A42" s="29">
        <v>60050</v>
      </c>
      <c r="B42" s="99" t="s">
        <v>215</v>
      </c>
      <c r="C42" s="100">
        <v>4159</v>
      </c>
      <c r="D42" s="101">
        <v>3.1E-2</v>
      </c>
      <c r="E42" s="100">
        <v>8124</v>
      </c>
      <c r="F42" s="100">
        <v>-3965</v>
      </c>
      <c r="G42" s="101">
        <v>3.8300000000000001E-2</v>
      </c>
      <c r="H42" s="100">
        <v>9810</v>
      </c>
      <c r="I42" s="102">
        <v>-5651</v>
      </c>
      <c r="J42" s="101">
        <v>4.7100000000000003E-2</v>
      </c>
      <c r="K42" s="50"/>
      <c r="L42" s="100">
        <v>39922</v>
      </c>
      <c r="M42" s="101">
        <v>3.2199999999999999E-2</v>
      </c>
      <c r="N42" s="100">
        <v>54639</v>
      </c>
      <c r="O42" s="100">
        <v>-14717</v>
      </c>
      <c r="P42" s="101">
        <v>3.5799999999999998E-2</v>
      </c>
      <c r="Q42" s="100">
        <v>58170</v>
      </c>
      <c r="R42" s="102">
        <v>-18247</v>
      </c>
      <c r="S42" s="101">
        <v>3.9100000000000003E-2</v>
      </c>
    </row>
    <row r="43" spans="1:19" ht="18" customHeight="1">
      <c r="A43" s="29">
        <v>60350</v>
      </c>
      <c r="B43" s="99" t="s">
        <v>216</v>
      </c>
      <c r="C43" s="100">
        <v>4018</v>
      </c>
      <c r="D43" s="101">
        <v>0.03</v>
      </c>
      <c r="E43" s="100">
        <v>9057</v>
      </c>
      <c r="F43" s="100">
        <v>-5039</v>
      </c>
      <c r="G43" s="101">
        <v>4.2699999999999995E-2</v>
      </c>
      <c r="H43" s="100">
        <v>10459</v>
      </c>
      <c r="I43" s="102">
        <v>-6441</v>
      </c>
      <c r="J43" s="101">
        <v>5.0199999999999995E-2</v>
      </c>
      <c r="K43" s="50"/>
      <c r="L43" s="100">
        <v>26787</v>
      </c>
      <c r="M43" s="101">
        <v>2.1600000000000001E-2</v>
      </c>
      <c r="N43" s="100">
        <v>63377</v>
      </c>
      <c r="O43" s="100">
        <v>-36590</v>
      </c>
      <c r="P43" s="101">
        <v>4.1500000000000002E-2</v>
      </c>
      <c r="Q43" s="100">
        <v>66021</v>
      </c>
      <c r="R43" s="102">
        <v>-39234</v>
      </c>
      <c r="S43" s="101">
        <v>4.4299999999999999E-2</v>
      </c>
    </row>
    <row r="44" spans="1:19" ht="18" customHeight="1">
      <c r="A44" s="29">
        <v>60500</v>
      </c>
      <c r="B44" s="99" t="s">
        <v>217</v>
      </c>
      <c r="C44" s="100">
        <v>1253</v>
      </c>
      <c r="D44" s="101">
        <v>9.300000000000001E-3</v>
      </c>
      <c r="E44" s="100">
        <v>3541</v>
      </c>
      <c r="F44" s="100">
        <v>-2289</v>
      </c>
      <c r="G44" s="101">
        <v>1.67E-2</v>
      </c>
      <c r="H44" s="100">
        <v>4642</v>
      </c>
      <c r="I44" s="102">
        <v>-3390</v>
      </c>
      <c r="J44" s="101">
        <v>2.23E-2</v>
      </c>
      <c r="K44" s="50"/>
      <c r="L44" s="100">
        <v>2235</v>
      </c>
      <c r="M44" s="101">
        <v>1.8E-3</v>
      </c>
      <c r="N44" s="100">
        <v>23813</v>
      </c>
      <c r="O44" s="100">
        <v>-21579</v>
      </c>
      <c r="P44" s="101">
        <v>1.5600000000000001E-2</v>
      </c>
      <c r="Q44" s="100">
        <v>26117</v>
      </c>
      <c r="R44" s="102">
        <v>-23882</v>
      </c>
      <c r="S44" s="101">
        <v>1.7500000000000002E-2</v>
      </c>
    </row>
    <row r="45" spans="1:19" ht="18.75" customHeight="1">
      <c r="B45" s="105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</row>
    <row r="46" spans="1:19" ht="18" customHeight="1">
      <c r="B46" s="107" t="s">
        <v>304</v>
      </c>
      <c r="C46" s="108">
        <v>12369</v>
      </c>
      <c r="D46" s="109">
        <v>9.2300000000000007E-2</v>
      </c>
      <c r="E46" s="108">
        <v>29849</v>
      </c>
      <c r="F46" s="108">
        <v>-17480</v>
      </c>
      <c r="G46" s="109">
        <v>0.14069999999999999</v>
      </c>
      <c r="H46" s="108">
        <v>34403</v>
      </c>
      <c r="I46" s="110">
        <v>-22035</v>
      </c>
      <c r="J46" s="109">
        <v>0.16510000000000002</v>
      </c>
      <c r="K46" s="106"/>
      <c r="L46" s="108">
        <v>87714</v>
      </c>
      <c r="M46" s="109">
        <v>7.0699999999999999E-2</v>
      </c>
      <c r="N46" s="108">
        <v>200400</v>
      </c>
      <c r="O46" s="108">
        <v>-112686</v>
      </c>
      <c r="P46" s="109">
        <v>0.13119999999999998</v>
      </c>
      <c r="Q46" s="108">
        <v>209913</v>
      </c>
      <c r="R46" s="111">
        <v>-122198</v>
      </c>
      <c r="S46" s="109">
        <v>0.14099999999999999</v>
      </c>
    </row>
    <row r="47" spans="1:19" ht="18" customHeight="1">
      <c r="B47" s="112" t="s">
        <v>305</v>
      </c>
      <c r="C47" s="108">
        <v>23208</v>
      </c>
      <c r="D47" s="109">
        <v>0.17319999999999999</v>
      </c>
      <c r="E47" s="108">
        <v>2000</v>
      </c>
      <c r="F47" s="108">
        <v>21208</v>
      </c>
      <c r="G47" s="109">
        <v>9.3999999999999986E-3</v>
      </c>
      <c r="H47" s="108">
        <v>3469</v>
      </c>
      <c r="I47" s="110">
        <v>19739</v>
      </c>
      <c r="J47" s="109">
        <v>1.66E-2</v>
      </c>
      <c r="K47" s="106"/>
      <c r="L47" s="108">
        <v>130306</v>
      </c>
      <c r="M47" s="109">
        <v>0.105</v>
      </c>
      <c r="N47" s="108">
        <v>14000</v>
      </c>
      <c r="O47" s="108">
        <v>116306</v>
      </c>
      <c r="P47" s="109">
        <v>9.1999999999999998E-3</v>
      </c>
      <c r="Q47" s="108">
        <v>15490</v>
      </c>
      <c r="R47" s="111">
        <v>114816</v>
      </c>
      <c r="S47" s="109">
        <v>1.04E-2</v>
      </c>
    </row>
    <row r="48" spans="1:19" ht="18" customHeight="1">
      <c r="B48" s="113" t="s">
        <v>306</v>
      </c>
      <c r="C48" s="114">
        <v>0</v>
      </c>
      <c r="D48" s="115"/>
      <c r="E48" s="114">
        <v>0</v>
      </c>
      <c r="F48" s="114">
        <v>0</v>
      </c>
      <c r="G48" s="115"/>
      <c r="H48" s="114">
        <v>0</v>
      </c>
      <c r="I48" s="116"/>
      <c r="J48" s="115"/>
      <c r="K48" s="117"/>
      <c r="L48" s="114">
        <v>0</v>
      </c>
      <c r="M48" s="115"/>
      <c r="N48" s="114">
        <v>0</v>
      </c>
      <c r="O48" s="114">
        <v>0</v>
      </c>
      <c r="P48" s="115"/>
      <c r="Q48" s="118">
        <v>310</v>
      </c>
      <c r="R48" s="119">
        <v>-310</v>
      </c>
      <c r="S48" s="64">
        <v>2.0000000000000001E-4</v>
      </c>
    </row>
    <row r="49" spans="2:19" ht="18.75" customHeight="1">
      <c r="B49" s="105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</row>
    <row r="50" spans="2:19" ht="18" customHeight="1">
      <c r="B50" s="120" t="s">
        <v>307</v>
      </c>
      <c r="C50" s="108">
        <v>35577</v>
      </c>
      <c r="D50" s="109">
        <v>0.26550000000000001</v>
      </c>
      <c r="E50" s="108">
        <v>31849</v>
      </c>
      <c r="F50" s="108">
        <v>3728</v>
      </c>
      <c r="G50" s="109">
        <v>0.15010000000000001</v>
      </c>
      <c r="H50" s="108">
        <v>37873</v>
      </c>
      <c r="I50" s="110">
        <v>-2296</v>
      </c>
      <c r="J50" s="109">
        <v>0.18179999999999999</v>
      </c>
      <c r="K50" s="106"/>
      <c r="L50" s="108">
        <v>218021</v>
      </c>
      <c r="M50" s="109">
        <v>0.17559999999999998</v>
      </c>
      <c r="N50" s="108">
        <v>214400</v>
      </c>
      <c r="O50" s="108">
        <v>3620</v>
      </c>
      <c r="P50" s="109">
        <v>0.1404</v>
      </c>
      <c r="Q50" s="108">
        <v>225713</v>
      </c>
      <c r="R50" s="111">
        <v>-7692</v>
      </c>
      <c r="S50" s="109">
        <v>0.15160000000000001</v>
      </c>
    </row>
    <row r="51" spans="2:19" ht="18.75" customHeight="1">
      <c r="B51" s="76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</row>
    <row r="52" spans="2:19" ht="18.75" customHeight="1">
      <c r="B52" s="121" t="s">
        <v>254</v>
      </c>
      <c r="C52" s="97"/>
      <c r="D52" s="97"/>
      <c r="E52" s="97"/>
      <c r="F52" s="97"/>
      <c r="G52" s="97"/>
      <c r="H52" s="97"/>
      <c r="I52" s="97"/>
      <c r="J52" s="97"/>
      <c r="K52" s="75"/>
      <c r="L52" s="97"/>
      <c r="M52" s="97"/>
      <c r="N52" s="97"/>
      <c r="O52" s="97"/>
      <c r="P52" s="97"/>
      <c r="Q52" s="97"/>
      <c r="R52" s="97"/>
      <c r="S52" s="97"/>
    </row>
    <row r="53" spans="2:19" ht="18.75" customHeight="1">
      <c r="B53" s="76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</row>
    <row r="54" spans="2:19" ht="18" customHeight="1">
      <c r="B54" s="91" t="s">
        <v>308</v>
      </c>
      <c r="C54" s="80">
        <v>850</v>
      </c>
      <c r="D54" s="79">
        <v>6.3E-3</v>
      </c>
      <c r="E54" s="80">
        <v>1847</v>
      </c>
      <c r="F54" s="80">
        <v>-998</v>
      </c>
      <c r="G54" s="79">
        <v>8.6999999999999994E-3</v>
      </c>
      <c r="H54" s="80">
        <v>1506</v>
      </c>
      <c r="I54" s="81">
        <v>-656</v>
      </c>
      <c r="J54" s="79">
        <v>7.1999999999999998E-3</v>
      </c>
      <c r="K54" s="50"/>
      <c r="L54" s="80">
        <v>9040</v>
      </c>
      <c r="M54" s="79">
        <v>7.3000000000000001E-3</v>
      </c>
      <c r="N54" s="80">
        <v>12435</v>
      </c>
      <c r="O54" s="80">
        <v>-3396</v>
      </c>
      <c r="P54" s="79">
        <v>8.1000000000000013E-3</v>
      </c>
      <c r="Q54" s="80">
        <v>11329</v>
      </c>
      <c r="R54" s="82">
        <v>-2290</v>
      </c>
      <c r="S54" s="79">
        <v>7.6E-3</v>
      </c>
    </row>
    <row r="55" spans="2:19" ht="18" customHeight="1">
      <c r="B55" s="91" t="s">
        <v>309</v>
      </c>
      <c r="C55" s="80">
        <v>2003</v>
      </c>
      <c r="D55" s="79">
        <v>1.49E-2</v>
      </c>
      <c r="E55" s="80">
        <v>1874</v>
      </c>
      <c r="F55" s="80">
        <v>129</v>
      </c>
      <c r="G55" s="79">
        <v>8.8000000000000005E-3</v>
      </c>
      <c r="H55" s="80">
        <v>1782</v>
      </c>
      <c r="I55" s="81">
        <v>221</v>
      </c>
      <c r="J55" s="79">
        <v>8.6E-3</v>
      </c>
      <c r="K55" s="50"/>
      <c r="L55" s="80">
        <v>13583</v>
      </c>
      <c r="M55" s="79">
        <v>1.09E-2</v>
      </c>
      <c r="N55" s="80">
        <v>13118</v>
      </c>
      <c r="O55" s="80">
        <v>465</v>
      </c>
      <c r="P55" s="79">
        <v>8.6E-3</v>
      </c>
      <c r="Q55" s="80">
        <v>11946</v>
      </c>
      <c r="R55" s="82">
        <v>1638</v>
      </c>
      <c r="S55" s="79">
        <v>8.0000000000000002E-3</v>
      </c>
    </row>
    <row r="56" spans="2:19" ht="18" customHeight="1">
      <c r="B56" s="91" t="s">
        <v>310</v>
      </c>
      <c r="C56" s="80">
        <v>163</v>
      </c>
      <c r="D56" s="79">
        <v>1.1999999999999999E-3</v>
      </c>
      <c r="E56" s="92">
        <v>0</v>
      </c>
      <c r="F56" s="80">
        <v>163</v>
      </c>
      <c r="G56" s="93"/>
      <c r="H56" s="92">
        <v>0</v>
      </c>
      <c r="I56" s="81">
        <v>163</v>
      </c>
      <c r="J56" s="93"/>
      <c r="K56" s="50"/>
      <c r="L56" s="80">
        <v>1511</v>
      </c>
      <c r="M56" s="79">
        <v>1.1999999999999999E-3</v>
      </c>
      <c r="N56" s="92">
        <v>0</v>
      </c>
      <c r="O56" s="80">
        <v>1511</v>
      </c>
      <c r="P56" s="93"/>
      <c r="Q56" s="92">
        <v>0</v>
      </c>
      <c r="R56" s="82">
        <v>1511</v>
      </c>
      <c r="S56" s="93"/>
    </row>
    <row r="57" spans="2:19" ht="18" customHeight="1">
      <c r="B57" s="91" t="s">
        <v>311</v>
      </c>
      <c r="C57" s="92">
        <v>0</v>
      </c>
      <c r="D57" s="93"/>
      <c r="E57" s="92">
        <v>0</v>
      </c>
      <c r="F57" s="92">
        <v>0</v>
      </c>
      <c r="G57" s="93"/>
      <c r="H57" s="92">
        <v>0</v>
      </c>
      <c r="I57" s="94"/>
      <c r="J57" s="93"/>
      <c r="K57" s="50"/>
      <c r="L57" s="92">
        <v>0</v>
      </c>
      <c r="M57" s="93"/>
      <c r="N57" s="92">
        <v>0</v>
      </c>
      <c r="O57" s="92">
        <v>0</v>
      </c>
      <c r="P57" s="93"/>
      <c r="Q57" s="80">
        <v>500</v>
      </c>
      <c r="R57" s="82">
        <v>-500</v>
      </c>
      <c r="S57" s="79">
        <v>2.9999999999999997E-4</v>
      </c>
    </row>
    <row r="58" spans="2:19" ht="18" customHeight="1">
      <c r="B58" s="91" t="s">
        <v>312</v>
      </c>
      <c r="C58" s="92">
        <v>0</v>
      </c>
      <c r="D58" s="93"/>
      <c r="E58" s="92">
        <v>0</v>
      </c>
      <c r="F58" s="92">
        <v>0</v>
      </c>
      <c r="G58" s="93"/>
      <c r="H58" s="80">
        <v>1438</v>
      </c>
      <c r="I58" s="81">
        <v>-1438</v>
      </c>
      <c r="J58" s="79">
        <v>6.8999999999999999E-3</v>
      </c>
      <c r="K58" s="50"/>
      <c r="L58" s="80">
        <v>4039</v>
      </c>
      <c r="M58" s="79">
        <v>3.3E-3</v>
      </c>
      <c r="N58" s="92">
        <v>0</v>
      </c>
      <c r="O58" s="80">
        <v>4039</v>
      </c>
      <c r="P58" s="93"/>
      <c r="Q58" s="80">
        <v>6036</v>
      </c>
      <c r="R58" s="82">
        <v>-1997</v>
      </c>
      <c r="S58" s="79">
        <v>4.0999999999999995E-3</v>
      </c>
    </row>
    <row r="59" spans="2:19" ht="18.75" customHeight="1">
      <c r="B59" s="83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</row>
    <row r="60" spans="2:19" ht="18" customHeight="1">
      <c r="B60" s="95" t="s">
        <v>259</v>
      </c>
      <c r="C60" s="80">
        <v>3015</v>
      </c>
      <c r="D60" s="79">
        <v>2.2499999999999999E-2</v>
      </c>
      <c r="E60" s="80">
        <v>3721</v>
      </c>
      <c r="F60" s="80">
        <v>-706</v>
      </c>
      <c r="G60" s="79">
        <v>1.7500000000000002E-2</v>
      </c>
      <c r="H60" s="80">
        <v>4726</v>
      </c>
      <c r="I60" s="81">
        <v>-1711</v>
      </c>
      <c r="J60" s="79">
        <v>2.2700000000000001E-2</v>
      </c>
      <c r="K60" s="50"/>
      <c r="L60" s="80">
        <v>28173</v>
      </c>
      <c r="M60" s="79">
        <v>2.2700000000000001E-2</v>
      </c>
      <c r="N60" s="80">
        <v>25553</v>
      </c>
      <c r="O60" s="80">
        <v>2619</v>
      </c>
      <c r="P60" s="79">
        <v>1.67E-2</v>
      </c>
      <c r="Q60" s="80">
        <v>29811</v>
      </c>
      <c r="R60" s="82">
        <v>-1638</v>
      </c>
      <c r="S60" s="79">
        <v>0.02</v>
      </c>
    </row>
    <row r="61" spans="2:19" ht="18.75" customHeight="1">
      <c r="B61" s="76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</row>
    <row r="62" spans="2:19" ht="18" customHeight="1">
      <c r="B62" s="95" t="s">
        <v>260</v>
      </c>
      <c r="C62" s="80">
        <v>38593</v>
      </c>
      <c r="D62" s="79">
        <v>0.28800000000000003</v>
      </c>
      <c r="E62" s="80">
        <v>35570</v>
      </c>
      <c r="F62" s="80">
        <v>3022</v>
      </c>
      <c r="G62" s="79">
        <v>0.16769999999999999</v>
      </c>
      <c r="H62" s="80">
        <v>42599</v>
      </c>
      <c r="I62" s="81">
        <v>-4006</v>
      </c>
      <c r="J62" s="79">
        <v>0.20440000000000003</v>
      </c>
      <c r="K62" s="50"/>
      <c r="L62" s="80">
        <v>246193</v>
      </c>
      <c r="M62" s="79">
        <v>0.19829999999999998</v>
      </c>
      <c r="N62" s="80">
        <v>239954</v>
      </c>
      <c r="O62" s="80">
        <v>6240</v>
      </c>
      <c r="P62" s="79">
        <v>0.15710000000000002</v>
      </c>
      <c r="Q62" s="80">
        <v>255523</v>
      </c>
      <c r="R62" s="82">
        <v>-9330</v>
      </c>
      <c r="S62" s="79">
        <v>0.1716</v>
      </c>
    </row>
    <row r="63" spans="2:19" ht="18.75" customHeight="1">
      <c r="B63" s="76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</row>
    <row r="64" spans="2:19" ht="18.75" customHeight="1">
      <c r="B64" s="76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</row>
    <row r="65" spans="2:19" ht="18.75" customHeight="1">
      <c r="B65" s="76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</row>
    <row r="66" spans="2:19" ht="18.75" customHeight="1">
      <c r="B66" s="73" t="s">
        <v>261</v>
      </c>
      <c r="C66" s="122"/>
      <c r="D66" s="122"/>
      <c r="E66" s="122"/>
      <c r="F66" s="122"/>
      <c r="G66" s="122"/>
      <c r="H66" s="122"/>
      <c r="I66" s="122"/>
      <c r="J66" s="122"/>
      <c r="K66" s="75"/>
      <c r="L66" s="122"/>
      <c r="M66" s="122"/>
      <c r="N66" s="122"/>
      <c r="O66" s="122"/>
      <c r="P66" s="122"/>
      <c r="Q66" s="122"/>
      <c r="R66" s="122"/>
      <c r="S66" s="122"/>
    </row>
    <row r="67" spans="2:19" ht="18" customHeight="1">
      <c r="B67" s="99" t="s">
        <v>313</v>
      </c>
      <c r="C67" s="80">
        <v>1118</v>
      </c>
      <c r="D67" s="79">
        <v>8.3000000000000001E-3</v>
      </c>
      <c r="E67" s="80">
        <v>1335</v>
      </c>
      <c r="F67" s="80">
        <v>-217</v>
      </c>
      <c r="G67" s="79">
        <v>6.3E-3</v>
      </c>
      <c r="H67" s="80">
        <v>1321</v>
      </c>
      <c r="I67" s="81">
        <v>-203</v>
      </c>
      <c r="J67" s="79">
        <v>6.3E-3</v>
      </c>
      <c r="K67" s="50"/>
      <c r="L67" s="80">
        <v>8275</v>
      </c>
      <c r="M67" s="79">
        <v>6.7000000000000002E-3</v>
      </c>
      <c r="N67" s="80">
        <v>9345</v>
      </c>
      <c r="O67" s="80">
        <v>-1070</v>
      </c>
      <c r="P67" s="79">
        <v>6.0999999999999995E-3</v>
      </c>
      <c r="Q67" s="80">
        <v>9796</v>
      </c>
      <c r="R67" s="82">
        <v>-1521</v>
      </c>
      <c r="S67" s="79">
        <v>6.6E-3</v>
      </c>
    </row>
    <row r="68" spans="2:19" ht="18" customHeight="1">
      <c r="B68" s="99" t="s">
        <v>314</v>
      </c>
      <c r="C68" s="80">
        <v>388</v>
      </c>
      <c r="D68" s="79">
        <v>2.8999999999999998E-3</v>
      </c>
      <c r="E68" s="80">
        <v>250</v>
      </c>
      <c r="F68" s="80">
        <v>138</v>
      </c>
      <c r="G68" s="79">
        <v>1.1999999999999999E-3</v>
      </c>
      <c r="H68" s="80">
        <v>290</v>
      </c>
      <c r="I68" s="81">
        <v>97</v>
      </c>
      <c r="J68" s="79">
        <v>1.4000000000000002E-3</v>
      </c>
      <c r="K68" s="50"/>
      <c r="L68" s="80">
        <v>2518</v>
      </c>
      <c r="M68" s="79">
        <v>2E-3</v>
      </c>
      <c r="N68" s="80">
        <v>1750</v>
      </c>
      <c r="O68" s="80">
        <v>768</v>
      </c>
      <c r="P68" s="79">
        <v>1.1000000000000001E-3</v>
      </c>
      <c r="Q68" s="80">
        <v>1868</v>
      </c>
      <c r="R68" s="82">
        <v>651</v>
      </c>
      <c r="S68" s="79">
        <v>1.2999999999999999E-3</v>
      </c>
    </row>
    <row r="69" spans="2:19" ht="18" customHeight="1">
      <c r="B69" s="99" t="s">
        <v>315</v>
      </c>
      <c r="C69" s="92">
        <v>0</v>
      </c>
      <c r="D69" s="93"/>
      <c r="E69" s="80">
        <v>225</v>
      </c>
      <c r="F69" s="80">
        <v>-225</v>
      </c>
      <c r="G69" s="79">
        <v>1.1000000000000001E-3</v>
      </c>
      <c r="H69" s="80">
        <v>200</v>
      </c>
      <c r="I69" s="81">
        <v>-200</v>
      </c>
      <c r="J69" s="79">
        <v>1E-3</v>
      </c>
      <c r="K69" s="50"/>
      <c r="L69" s="92">
        <v>0</v>
      </c>
      <c r="M69" s="93">
        <v>0</v>
      </c>
      <c r="N69" s="80">
        <v>1575</v>
      </c>
      <c r="O69" s="80">
        <v>-1575</v>
      </c>
      <c r="P69" s="79">
        <v>1E-3</v>
      </c>
      <c r="Q69" s="80">
        <v>1189</v>
      </c>
      <c r="R69" s="82">
        <v>-1189</v>
      </c>
      <c r="S69" s="79">
        <v>8.0000000000000004E-4</v>
      </c>
    </row>
    <row r="70" spans="2:19" ht="18" customHeight="1">
      <c r="B70" s="99" t="s">
        <v>316</v>
      </c>
      <c r="C70" s="80">
        <v>3931</v>
      </c>
      <c r="D70" s="79">
        <v>2.9300000000000003E-2</v>
      </c>
      <c r="E70" s="80">
        <v>4031</v>
      </c>
      <c r="F70" s="80">
        <v>-100</v>
      </c>
      <c r="G70" s="79">
        <v>1.9E-2</v>
      </c>
      <c r="H70" s="80">
        <v>4135</v>
      </c>
      <c r="I70" s="81">
        <v>-205</v>
      </c>
      <c r="J70" s="79">
        <v>1.9799999999999998E-2</v>
      </c>
      <c r="K70" s="50"/>
      <c r="L70" s="80">
        <v>26006</v>
      </c>
      <c r="M70" s="79">
        <v>2.0899999999999998E-2</v>
      </c>
      <c r="N70" s="80">
        <v>29022</v>
      </c>
      <c r="O70" s="80">
        <v>-3016</v>
      </c>
      <c r="P70" s="79">
        <v>1.9E-2</v>
      </c>
      <c r="Q70" s="80">
        <v>29231</v>
      </c>
      <c r="R70" s="82">
        <v>-3225</v>
      </c>
      <c r="S70" s="79">
        <v>1.9599999999999999E-2</v>
      </c>
    </row>
    <row r="71" spans="2:19" ht="18" customHeight="1">
      <c r="B71" s="99" t="s">
        <v>317</v>
      </c>
      <c r="C71" s="80">
        <v>5755</v>
      </c>
      <c r="D71" s="79">
        <v>4.2900000000000001E-2</v>
      </c>
      <c r="E71" s="80">
        <v>7385</v>
      </c>
      <c r="F71" s="80">
        <v>-1630</v>
      </c>
      <c r="G71" s="79">
        <v>3.4799999999999998E-2</v>
      </c>
      <c r="H71" s="80">
        <v>7214</v>
      </c>
      <c r="I71" s="81">
        <v>-1459</v>
      </c>
      <c r="J71" s="79">
        <v>3.4599999999999999E-2</v>
      </c>
      <c r="K71" s="50"/>
      <c r="L71" s="80">
        <v>51615</v>
      </c>
      <c r="M71" s="79">
        <v>4.1599999999999998E-2</v>
      </c>
      <c r="N71" s="80">
        <v>52575</v>
      </c>
      <c r="O71" s="80">
        <v>-960</v>
      </c>
      <c r="P71" s="79">
        <v>3.44E-2</v>
      </c>
      <c r="Q71" s="80">
        <v>50279</v>
      </c>
      <c r="R71" s="82">
        <v>1336</v>
      </c>
      <c r="S71" s="79">
        <v>3.3799999999999997E-2</v>
      </c>
    </row>
    <row r="72" spans="2:19" ht="18" customHeight="1">
      <c r="B72" s="99" t="s">
        <v>318</v>
      </c>
      <c r="C72" s="80">
        <v>28</v>
      </c>
      <c r="D72" s="79">
        <v>2.0000000000000001E-4</v>
      </c>
      <c r="E72" s="92">
        <v>0</v>
      </c>
      <c r="F72" s="80">
        <v>28</v>
      </c>
      <c r="G72" s="93"/>
      <c r="H72" s="80">
        <v>50</v>
      </c>
      <c r="I72" s="81">
        <v>-22</v>
      </c>
      <c r="J72" s="79">
        <v>2.0000000000000001E-4</v>
      </c>
      <c r="K72" s="50"/>
      <c r="L72" s="80">
        <v>182</v>
      </c>
      <c r="M72" s="79">
        <v>1E-4</v>
      </c>
      <c r="N72" s="92">
        <v>0</v>
      </c>
      <c r="O72" s="80">
        <v>182</v>
      </c>
      <c r="P72" s="93"/>
      <c r="Q72" s="80">
        <v>132</v>
      </c>
      <c r="R72" s="82">
        <v>50</v>
      </c>
      <c r="S72" s="79">
        <v>1E-4</v>
      </c>
    </row>
    <row r="73" spans="2:19" ht="18" customHeight="1">
      <c r="B73" s="99" t="s">
        <v>319</v>
      </c>
      <c r="C73" s="92">
        <v>0</v>
      </c>
      <c r="D73" s="93"/>
      <c r="E73" s="92">
        <v>0</v>
      </c>
      <c r="F73" s="92">
        <v>0</v>
      </c>
      <c r="G73" s="93"/>
      <c r="H73" s="92">
        <v>0</v>
      </c>
      <c r="I73" s="94"/>
      <c r="J73" s="93"/>
      <c r="K73" s="50"/>
      <c r="L73" s="80">
        <v>-524</v>
      </c>
      <c r="M73" s="79">
        <v>-4.0000000000000002E-4</v>
      </c>
      <c r="N73" s="92">
        <v>0</v>
      </c>
      <c r="O73" s="80">
        <v>-524</v>
      </c>
      <c r="P73" s="93"/>
      <c r="Q73" s="80">
        <v>1206</v>
      </c>
      <c r="R73" s="82">
        <v>-1730</v>
      </c>
      <c r="S73" s="79">
        <v>8.0000000000000004E-4</v>
      </c>
    </row>
    <row r="74" spans="2:19" ht="18" customHeight="1">
      <c r="B74" s="99" t="s">
        <v>320</v>
      </c>
      <c r="C74" s="80">
        <v>633</v>
      </c>
      <c r="D74" s="79">
        <v>4.6999999999999993E-3</v>
      </c>
      <c r="E74" s="80">
        <v>222</v>
      </c>
      <c r="F74" s="80">
        <v>411</v>
      </c>
      <c r="G74" s="79">
        <v>1E-3</v>
      </c>
      <c r="H74" s="80">
        <v>180</v>
      </c>
      <c r="I74" s="81">
        <v>453</v>
      </c>
      <c r="J74" s="79">
        <v>8.9999999999999998E-4</v>
      </c>
      <c r="K74" s="50"/>
      <c r="L74" s="80">
        <v>2533</v>
      </c>
      <c r="M74" s="79">
        <v>2E-3</v>
      </c>
      <c r="N74" s="80">
        <v>1577</v>
      </c>
      <c r="O74" s="80">
        <v>956</v>
      </c>
      <c r="P74" s="79">
        <v>1E-3</v>
      </c>
      <c r="Q74" s="80">
        <v>251</v>
      </c>
      <c r="R74" s="82">
        <v>2282</v>
      </c>
      <c r="S74" s="79">
        <v>2.0000000000000001E-4</v>
      </c>
    </row>
    <row r="75" spans="2:19" ht="18" customHeight="1">
      <c r="B75" s="99" t="s">
        <v>321</v>
      </c>
      <c r="C75" s="80">
        <v>817</v>
      </c>
      <c r="D75" s="79">
        <v>6.0999999999999995E-3</v>
      </c>
      <c r="E75" s="80">
        <v>886</v>
      </c>
      <c r="F75" s="80">
        <v>-70</v>
      </c>
      <c r="G75" s="79">
        <v>4.1999999999999997E-3</v>
      </c>
      <c r="H75" s="80">
        <v>1128</v>
      </c>
      <c r="I75" s="81">
        <v>-311</v>
      </c>
      <c r="J75" s="79">
        <v>5.4000000000000003E-3</v>
      </c>
      <c r="K75" s="50"/>
      <c r="L75" s="80">
        <v>3680</v>
      </c>
      <c r="M75" s="79">
        <v>3.0000000000000001E-3</v>
      </c>
      <c r="N75" s="80">
        <v>6021</v>
      </c>
      <c r="O75" s="80">
        <v>-2341</v>
      </c>
      <c r="P75" s="79">
        <v>3.9000000000000003E-3</v>
      </c>
      <c r="Q75" s="80">
        <v>5918</v>
      </c>
      <c r="R75" s="82">
        <v>-2239</v>
      </c>
      <c r="S75" s="79">
        <v>4.0000000000000001E-3</v>
      </c>
    </row>
    <row r="76" spans="2:19" ht="18" customHeight="1">
      <c r="B76" s="99" t="s">
        <v>322</v>
      </c>
      <c r="C76" s="80">
        <v>656</v>
      </c>
      <c r="D76" s="79">
        <v>4.8999999999999998E-3</v>
      </c>
      <c r="E76" s="80">
        <v>591</v>
      </c>
      <c r="F76" s="80">
        <v>65</v>
      </c>
      <c r="G76" s="79">
        <v>2.8000000000000004E-3</v>
      </c>
      <c r="H76" s="80">
        <v>748</v>
      </c>
      <c r="I76" s="81">
        <v>-92</v>
      </c>
      <c r="J76" s="79">
        <v>3.5999999999999999E-3</v>
      </c>
      <c r="K76" s="50"/>
      <c r="L76" s="80">
        <v>4110</v>
      </c>
      <c r="M76" s="79">
        <v>3.3E-3</v>
      </c>
      <c r="N76" s="80">
        <v>4206</v>
      </c>
      <c r="O76" s="80">
        <v>-96</v>
      </c>
      <c r="P76" s="79">
        <v>2.8000000000000004E-3</v>
      </c>
      <c r="Q76" s="80">
        <v>5456</v>
      </c>
      <c r="R76" s="82">
        <v>-1346</v>
      </c>
      <c r="S76" s="79">
        <v>3.7000000000000002E-3</v>
      </c>
    </row>
    <row r="77" spans="2:19" ht="18" customHeight="1">
      <c r="B77" s="99" t="s">
        <v>323</v>
      </c>
      <c r="C77" s="80">
        <v>1270</v>
      </c>
      <c r="D77" s="79">
        <v>9.4999999999999998E-3</v>
      </c>
      <c r="E77" s="80">
        <v>1034</v>
      </c>
      <c r="F77" s="80">
        <v>236</v>
      </c>
      <c r="G77" s="79">
        <v>4.8999999999999998E-3</v>
      </c>
      <c r="H77" s="80">
        <v>326</v>
      </c>
      <c r="I77" s="81">
        <v>944</v>
      </c>
      <c r="J77" s="79">
        <v>1.6000000000000001E-3</v>
      </c>
      <c r="K77" s="50"/>
      <c r="L77" s="80">
        <v>6023</v>
      </c>
      <c r="M77" s="79">
        <v>4.8999999999999998E-3</v>
      </c>
      <c r="N77" s="80">
        <v>7361</v>
      </c>
      <c r="O77" s="80">
        <v>-1338</v>
      </c>
      <c r="P77" s="79">
        <v>4.7999999999999996E-3</v>
      </c>
      <c r="Q77" s="80">
        <v>6348</v>
      </c>
      <c r="R77" s="82">
        <v>-325</v>
      </c>
      <c r="S77" s="79">
        <v>4.3E-3</v>
      </c>
    </row>
    <row r="78" spans="2:19" ht="18" customHeight="1">
      <c r="B78" s="99" t="s">
        <v>324</v>
      </c>
      <c r="C78" s="80">
        <v>74</v>
      </c>
      <c r="D78" s="79">
        <v>5.0000000000000001E-4</v>
      </c>
      <c r="E78" s="92">
        <v>0</v>
      </c>
      <c r="F78" s="80">
        <v>74</v>
      </c>
      <c r="G78" s="93"/>
      <c r="H78" s="80">
        <v>42</v>
      </c>
      <c r="I78" s="81">
        <v>32</v>
      </c>
      <c r="J78" s="79">
        <v>2.0000000000000001E-4</v>
      </c>
      <c r="K78" s="50"/>
      <c r="L78" s="80">
        <v>-112</v>
      </c>
      <c r="M78" s="79">
        <v>-1E-4</v>
      </c>
      <c r="N78" s="92">
        <v>0</v>
      </c>
      <c r="O78" s="80">
        <v>-112</v>
      </c>
      <c r="P78" s="93"/>
      <c r="Q78" s="80">
        <v>231</v>
      </c>
      <c r="R78" s="82">
        <v>-342</v>
      </c>
      <c r="S78" s="79">
        <v>2.0000000000000001E-4</v>
      </c>
    </row>
    <row r="79" spans="2:19" ht="18" customHeight="1">
      <c r="B79" s="99" t="s">
        <v>325</v>
      </c>
      <c r="C79" s="92">
        <v>0</v>
      </c>
      <c r="D79" s="93"/>
      <c r="E79" s="92">
        <v>0</v>
      </c>
      <c r="F79" s="92">
        <v>0</v>
      </c>
      <c r="G79" s="93"/>
      <c r="H79" s="92">
        <v>0</v>
      </c>
      <c r="I79" s="94"/>
      <c r="J79" s="93"/>
      <c r="K79" s="50"/>
      <c r="L79" s="80">
        <v>29</v>
      </c>
      <c r="M79" s="93">
        <v>0</v>
      </c>
      <c r="N79" s="92">
        <v>0</v>
      </c>
      <c r="O79" s="80">
        <v>29</v>
      </c>
      <c r="P79" s="93"/>
      <c r="Q79" s="92">
        <v>0</v>
      </c>
      <c r="R79" s="82">
        <v>29</v>
      </c>
      <c r="S79" s="93"/>
    </row>
    <row r="80" spans="2:19" ht="18" customHeight="1">
      <c r="B80" s="99" t="s">
        <v>326</v>
      </c>
      <c r="C80" s="80">
        <v>3550</v>
      </c>
      <c r="D80" s="79">
        <v>2.6499999999999999E-2</v>
      </c>
      <c r="E80" s="80">
        <v>4625</v>
      </c>
      <c r="F80" s="80">
        <v>-1075</v>
      </c>
      <c r="G80" s="79">
        <v>2.18E-2</v>
      </c>
      <c r="H80" s="80">
        <v>4230</v>
      </c>
      <c r="I80" s="81">
        <v>-680</v>
      </c>
      <c r="J80" s="79">
        <v>2.0299999999999999E-2</v>
      </c>
      <c r="K80" s="50"/>
      <c r="L80" s="80">
        <v>32309</v>
      </c>
      <c r="M80" s="79">
        <v>2.6000000000000002E-2</v>
      </c>
      <c r="N80" s="80">
        <v>36184</v>
      </c>
      <c r="O80" s="80">
        <v>-3875</v>
      </c>
      <c r="P80" s="79">
        <v>2.3700000000000002E-2</v>
      </c>
      <c r="Q80" s="80">
        <v>35248</v>
      </c>
      <c r="R80" s="82">
        <v>-2939</v>
      </c>
      <c r="S80" s="79">
        <v>2.3700000000000002E-2</v>
      </c>
    </row>
    <row r="81" spans="2:19" ht="18" customHeight="1">
      <c r="B81" s="99" t="s">
        <v>327</v>
      </c>
      <c r="C81" s="92">
        <v>0</v>
      </c>
      <c r="D81" s="93"/>
      <c r="E81" s="92">
        <v>0</v>
      </c>
      <c r="F81" s="92">
        <v>0</v>
      </c>
      <c r="G81" s="93"/>
      <c r="H81" s="92">
        <v>0</v>
      </c>
      <c r="I81" s="94"/>
      <c r="J81" s="93"/>
      <c r="K81" s="50"/>
      <c r="L81" s="92">
        <v>0</v>
      </c>
      <c r="M81" s="93"/>
      <c r="N81" s="92">
        <v>0</v>
      </c>
      <c r="O81" s="92">
        <v>0</v>
      </c>
      <c r="P81" s="93"/>
      <c r="Q81" s="80">
        <v>403</v>
      </c>
      <c r="R81" s="82">
        <v>-403</v>
      </c>
      <c r="S81" s="79">
        <v>2.9999999999999997E-4</v>
      </c>
    </row>
    <row r="82" spans="2:19" ht="18" customHeight="1">
      <c r="B82" s="99" t="s">
        <v>328</v>
      </c>
      <c r="C82" s="80">
        <v>208</v>
      </c>
      <c r="D82" s="79">
        <v>1.6000000000000001E-3</v>
      </c>
      <c r="E82" s="80">
        <v>111</v>
      </c>
      <c r="F82" s="80">
        <v>97</v>
      </c>
      <c r="G82" s="79">
        <v>5.0000000000000001E-4</v>
      </c>
      <c r="H82" s="80">
        <v>155</v>
      </c>
      <c r="I82" s="81">
        <v>52</v>
      </c>
      <c r="J82" s="79">
        <v>7.000000000000001E-4</v>
      </c>
      <c r="K82" s="50"/>
      <c r="L82" s="80">
        <v>550</v>
      </c>
      <c r="M82" s="79">
        <v>4.0000000000000002E-4</v>
      </c>
      <c r="N82" s="80">
        <v>789</v>
      </c>
      <c r="O82" s="80">
        <v>-239</v>
      </c>
      <c r="P82" s="79">
        <v>5.0000000000000001E-4</v>
      </c>
      <c r="Q82" s="80">
        <v>411</v>
      </c>
      <c r="R82" s="82">
        <v>139</v>
      </c>
      <c r="S82" s="79">
        <v>2.9999999999999997E-4</v>
      </c>
    </row>
    <row r="83" spans="2:19" ht="18.75" customHeight="1">
      <c r="B83" s="83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</row>
    <row r="84" spans="2:19" ht="18" customHeight="1">
      <c r="B84" s="123" t="s">
        <v>329</v>
      </c>
      <c r="C84" s="118">
        <v>18425</v>
      </c>
      <c r="D84" s="64">
        <v>0.13750000000000001</v>
      </c>
      <c r="E84" s="118">
        <v>20694</v>
      </c>
      <c r="F84" s="118">
        <v>-2269</v>
      </c>
      <c r="G84" s="64">
        <v>9.7500000000000003E-2</v>
      </c>
      <c r="H84" s="118">
        <v>20019</v>
      </c>
      <c r="I84" s="124">
        <v>-1594</v>
      </c>
      <c r="J84" s="64">
        <v>9.6099999999999991E-2</v>
      </c>
      <c r="K84" s="117"/>
      <c r="L84" s="118">
        <v>137193</v>
      </c>
      <c r="M84" s="64">
        <v>0.1105</v>
      </c>
      <c r="N84" s="118">
        <v>150404</v>
      </c>
      <c r="O84" s="118">
        <v>-13212</v>
      </c>
      <c r="P84" s="64">
        <v>9.849999999999999E-2</v>
      </c>
      <c r="Q84" s="118">
        <v>147967</v>
      </c>
      <c r="R84" s="119">
        <v>-10774</v>
      </c>
      <c r="S84" s="64">
        <v>9.9399999999999988E-2</v>
      </c>
    </row>
    <row r="85" spans="2:19" ht="18.75" customHeight="1">
      <c r="B85" s="105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</row>
    <row r="86" spans="2:19" ht="18" customHeight="1">
      <c r="B86" s="123" t="s">
        <v>330</v>
      </c>
      <c r="C86" s="118">
        <v>57018</v>
      </c>
      <c r="D86" s="64">
        <v>0.42549999999999999</v>
      </c>
      <c r="E86" s="118">
        <v>56264</v>
      </c>
      <c r="F86" s="118">
        <v>753</v>
      </c>
      <c r="G86" s="64">
        <v>0.26519999999999999</v>
      </c>
      <c r="H86" s="118">
        <v>62618</v>
      </c>
      <c r="I86" s="124">
        <v>-5600</v>
      </c>
      <c r="J86" s="64">
        <v>0.30049999999999999</v>
      </c>
      <c r="K86" s="117"/>
      <c r="L86" s="118">
        <v>383386</v>
      </c>
      <c r="M86" s="64">
        <v>0.30879999999999996</v>
      </c>
      <c r="N86" s="118">
        <v>390358</v>
      </c>
      <c r="O86" s="118">
        <v>-6972</v>
      </c>
      <c r="P86" s="64">
        <v>0.25559999999999999</v>
      </c>
      <c r="Q86" s="118">
        <v>403490</v>
      </c>
      <c r="R86" s="119">
        <v>-20104</v>
      </c>
      <c r="S86" s="64">
        <v>0.27089999999999997</v>
      </c>
    </row>
    <row r="87" spans="2:19" ht="18.75" customHeight="1">
      <c r="B87" s="105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</row>
    <row r="88" spans="2:19" ht="18" customHeight="1" thickBot="1">
      <c r="B88" s="125" t="s">
        <v>331</v>
      </c>
      <c r="C88" s="126">
        <v>76997</v>
      </c>
      <c r="D88" s="127">
        <v>0.57450000000000001</v>
      </c>
      <c r="E88" s="126">
        <v>155886</v>
      </c>
      <c r="F88" s="126">
        <v>-78890</v>
      </c>
      <c r="G88" s="127">
        <v>0.73480000000000001</v>
      </c>
      <c r="H88" s="126">
        <v>145760</v>
      </c>
      <c r="I88" s="128">
        <v>-68764</v>
      </c>
      <c r="J88" s="127">
        <v>0.69950000000000001</v>
      </c>
      <c r="K88" s="129"/>
      <c r="L88" s="126">
        <v>858084</v>
      </c>
      <c r="M88" s="127">
        <v>0.69120000000000004</v>
      </c>
      <c r="N88" s="126">
        <v>1137114</v>
      </c>
      <c r="O88" s="126">
        <v>-279030</v>
      </c>
      <c r="P88" s="127">
        <v>0.74439999999999995</v>
      </c>
      <c r="Q88" s="126">
        <v>1085695</v>
      </c>
      <c r="R88" s="130">
        <v>-227612</v>
      </c>
      <c r="S88" s="127">
        <v>0.72909999999999997</v>
      </c>
    </row>
  </sheetData>
  <mergeCells count="1">
    <mergeCell ref="B10:S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Mapping</vt:lpstr>
      <vt:lpstr>July Batch</vt:lpstr>
      <vt:lpstr>IncomeStatement</vt:lpstr>
      <vt:lpstr>A&amp;G-ActualandBudgetVarianc</vt:lpstr>
      <vt:lpstr>ROOMSI&amp;II-ActualandBudgetV</vt:lpstr>
      <vt:lpstr>'A&amp;G-ActualandBudgetVarianc'!Ga6f250a8_46eb_4986_965c_2f007d9cdb55</vt:lpstr>
      <vt:lpstr>'ROOMSI&amp;II-ActualandBudgetV'!Ga6f250a8_46eb_4986_965c_2f007d9cdb55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Arulmurugan Vadivel</dc:creator>
  <cp:lastModifiedBy>Arulmurugan Vadivel</cp:lastModifiedBy>
  <dcterms:created xsi:type="dcterms:W3CDTF">2026-08-12T15:17:42Z</dcterms:created>
  <dcterms:modified xsi:type="dcterms:W3CDTF">2026-08-12T15:55:20Z</dcterms:modified>
</cp:coreProperties>
</file>